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.04" sheetId="1" r:id="rId5"/>
    <sheet state="visible" name="Spending 25.04" sheetId="2" r:id="rId6"/>
    <sheet state="visible" name="Money plan yearly" sheetId="3" r:id="rId7"/>
  </sheets>
  <definedNames/>
  <calcPr/>
</workbook>
</file>

<file path=xl/sharedStrings.xml><?xml version="1.0" encoding="utf-8"?>
<sst xmlns="http://schemas.openxmlformats.org/spreadsheetml/2006/main" count="356" uniqueCount="181">
  <si>
    <t xml:space="preserve"> </t>
  </si>
  <si>
    <t>this month is</t>
  </si>
  <si>
    <t>July</t>
  </si>
  <si>
    <t>2025</t>
  </si>
  <si>
    <t>How much money do you have coming in? and spend out?</t>
  </si>
  <si>
    <t>( + )</t>
  </si>
  <si>
    <t>(-)</t>
  </si>
  <si>
    <t>Month</t>
  </si>
  <si>
    <t>Date</t>
  </si>
  <si>
    <t>SOURCE</t>
  </si>
  <si>
    <t>Name</t>
  </si>
  <si>
    <t>Account</t>
  </si>
  <si>
    <t>Fund</t>
  </si>
  <si>
    <t>AMOUNT</t>
  </si>
  <si>
    <t>House rental money</t>
  </si>
  <si>
    <t>Xuân trả tiền thuê nhà</t>
  </si>
  <si>
    <t>Togohub management</t>
  </si>
  <si>
    <t>Cash</t>
  </si>
  <si>
    <t>Family</t>
  </si>
  <si>
    <t>bà đưa tiền của Nghĩa</t>
  </si>
  <si>
    <t>bà̀ cho sinh nhật</t>
  </si>
  <si>
    <t>Banking interest</t>
  </si>
  <si>
    <t>lãi ngân hàng</t>
  </si>
  <si>
    <t>đi chợ</t>
  </si>
  <si>
    <t>Vietcombank</t>
  </si>
  <si>
    <t>Go Market</t>
  </si>
  <si>
    <t>đồ ăn</t>
  </si>
  <si>
    <t>Extra meal</t>
  </si>
  <si>
    <t>cafe</t>
  </si>
  <si>
    <t>Café</t>
  </si>
  <si>
    <t>TOTAL (A)</t>
  </si>
  <si>
    <t>How much money do you have going out?</t>
  </si>
  <si>
    <t>How much money do you have available to you?</t>
  </si>
  <si>
    <t>-</t>
  </si>
  <si>
    <t>TOTAL (B)</t>
  </si>
  <si>
    <t xml:space="preserve"> = </t>
  </si>
  <si>
    <t>TOTAL (C)</t>
  </si>
  <si>
    <t>How much money do you want to save</t>
  </si>
  <si>
    <t>TOTAL (D)</t>
  </si>
  <si>
    <t>What for?</t>
  </si>
  <si>
    <t>How much should you spend?</t>
  </si>
  <si>
    <t>TOTAL (E) (PER MONTH)</t>
  </si>
  <si>
    <t>TOTAL (E)</t>
  </si>
  <si>
    <t>/</t>
  </si>
  <si>
    <t>No OF WEEKS</t>
  </si>
  <si>
    <t>TOTAL  (PER WEEK)</t>
  </si>
  <si>
    <t>NOTES</t>
  </si>
  <si>
    <t>Chi tiêu thực tế</t>
  </si>
  <si>
    <t>BIDV</t>
  </si>
  <si>
    <t>Vp bank Lady</t>
  </si>
  <si>
    <t>Moca</t>
  </si>
  <si>
    <t>Momo</t>
  </si>
  <si>
    <t>Zalo</t>
  </si>
  <si>
    <t>Saving</t>
  </si>
  <si>
    <t>Loan</t>
  </si>
  <si>
    <t>Total out</t>
  </si>
  <si>
    <t>%</t>
  </si>
  <si>
    <t>Total in</t>
  </si>
  <si>
    <t>Education</t>
  </si>
  <si>
    <t>Education fee</t>
  </si>
  <si>
    <t>Extra Education fee</t>
  </si>
  <si>
    <t>Talent Education fee</t>
  </si>
  <si>
    <t>Books</t>
  </si>
  <si>
    <t>Stationery</t>
  </si>
  <si>
    <t>Enjoy</t>
  </si>
  <si>
    <t>Travel</t>
  </si>
  <si>
    <t>Restaurant</t>
  </si>
  <si>
    <t>Sightseeing</t>
  </si>
  <si>
    <t>Exhibition</t>
  </si>
  <si>
    <t>Museum</t>
  </si>
  <si>
    <t>For give</t>
  </si>
  <si>
    <t>Funeral</t>
  </si>
  <si>
    <t>Wedding</t>
  </si>
  <si>
    <t>Gift</t>
  </si>
  <si>
    <t>Charity</t>
  </si>
  <si>
    <t>Spirituality</t>
  </si>
  <si>
    <t>Health</t>
  </si>
  <si>
    <t>Medical exam</t>
  </si>
  <si>
    <t>Tablets</t>
  </si>
  <si>
    <t>Body care</t>
  </si>
  <si>
    <t>Cosmetic</t>
  </si>
  <si>
    <t>Medical Insurrance</t>
  </si>
  <si>
    <t>Living</t>
  </si>
  <si>
    <t>a</t>
  </si>
  <si>
    <t>b</t>
  </si>
  <si>
    <t>Breakfast</t>
  </si>
  <si>
    <t>c</t>
  </si>
  <si>
    <t>d</t>
  </si>
  <si>
    <t>Nghĩa</t>
  </si>
  <si>
    <t>e</t>
  </si>
  <si>
    <t>Mai</t>
  </si>
  <si>
    <t>g</t>
  </si>
  <si>
    <t>Totto</t>
  </si>
  <si>
    <t>h</t>
  </si>
  <si>
    <t>Lego</t>
  </si>
  <si>
    <t>i</t>
  </si>
  <si>
    <t>Phone</t>
  </si>
  <si>
    <t>Papers</t>
  </si>
  <si>
    <t>j</t>
  </si>
  <si>
    <t>Internet</t>
  </si>
  <si>
    <t>k</t>
  </si>
  <si>
    <t>Spotify</t>
  </si>
  <si>
    <t>l</t>
  </si>
  <si>
    <t>Banking information</t>
  </si>
  <si>
    <t>m</t>
  </si>
  <si>
    <t>Fuel</t>
  </si>
  <si>
    <t>n</t>
  </si>
  <si>
    <t>Motorcycle maintenance</t>
  </si>
  <si>
    <t>o</t>
  </si>
  <si>
    <t>Parking</t>
  </si>
  <si>
    <t>p</t>
  </si>
  <si>
    <t>Cleaning home</t>
  </si>
  <si>
    <t>q</t>
  </si>
  <si>
    <t>House shopping</t>
  </si>
  <si>
    <t>r</t>
  </si>
  <si>
    <t>House repair</t>
  </si>
  <si>
    <t>s</t>
  </si>
  <si>
    <t>Electricity</t>
  </si>
  <si>
    <t>Savings</t>
  </si>
  <si>
    <t>Life Insurance</t>
  </si>
  <si>
    <t>N&amp;M studio</t>
  </si>
  <si>
    <t>Design</t>
  </si>
  <si>
    <t>Construction</t>
  </si>
  <si>
    <t>T. Electricity</t>
  </si>
  <si>
    <t>T. Water</t>
  </si>
  <si>
    <t>T. Cleaning</t>
  </si>
  <si>
    <t>T. shopping</t>
  </si>
  <si>
    <t>T. Mainternance</t>
  </si>
  <si>
    <t>T. Exchange</t>
  </si>
  <si>
    <t>T. Tax &amp; Social</t>
  </si>
  <si>
    <t>T. Renovation</t>
  </si>
  <si>
    <t>Total</t>
  </si>
  <si>
    <t>Accounts</t>
  </si>
  <si>
    <t>Sổ tiết kiệm</t>
  </si>
  <si>
    <t>Stt</t>
  </si>
  <si>
    <t>Số tiền</t>
  </si>
  <si>
    <t>Bắt đầu</t>
  </si>
  <si>
    <t>Kết thúc</t>
  </si>
  <si>
    <t>Số tháng</t>
  </si>
  <si>
    <t>Tỉ lệ lãi</t>
  </si>
  <si>
    <t>Cuối kì</t>
  </si>
  <si>
    <t>Balance</t>
  </si>
  <si>
    <t>In</t>
  </si>
  <si>
    <t>Out</t>
  </si>
  <si>
    <t>?</t>
  </si>
  <si>
    <t>Change</t>
  </si>
  <si>
    <t>Last</t>
  </si>
  <si>
    <t>Funds</t>
  </si>
  <si>
    <t>Totto Fund</t>
  </si>
  <si>
    <t>Lego Fund</t>
  </si>
  <si>
    <t>Papa fund</t>
  </si>
  <si>
    <t>Nghia fund</t>
  </si>
  <si>
    <t>ID student</t>
  </si>
  <si>
    <t>A4 Class</t>
  </si>
  <si>
    <t>1</t>
  </si>
  <si>
    <t>2</t>
  </si>
  <si>
    <t>3</t>
  </si>
  <si>
    <t>Sources</t>
  </si>
  <si>
    <t>Private</t>
  </si>
  <si>
    <t>Salary</t>
  </si>
  <si>
    <t>Interest</t>
  </si>
  <si>
    <t>Togohub</t>
  </si>
  <si>
    <t>4</t>
  </si>
  <si>
    <t>UAD</t>
  </si>
  <si>
    <t>N&amp;M Salary</t>
  </si>
  <si>
    <t>Saving interest</t>
  </si>
  <si>
    <t>A4 Class Parents</t>
  </si>
  <si>
    <t>Trash</t>
  </si>
  <si>
    <t>5</t>
  </si>
  <si>
    <t>6</t>
  </si>
  <si>
    <t>7</t>
  </si>
  <si>
    <t>8</t>
  </si>
  <si>
    <t>9</t>
  </si>
  <si>
    <t>10</t>
  </si>
  <si>
    <t>11</t>
  </si>
  <si>
    <t>Điều kiện</t>
  </si>
  <si>
    <t>Thực tế</t>
  </si>
  <si>
    <t>Chênh lệch</t>
  </si>
  <si>
    <t>12</t>
  </si>
  <si>
    <t>Income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</si>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</sst>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36">
    <font>
      <sz val="10.0"/>
      <color rgb="FF000000"/>
      <name val="Arial"/>
      <scheme val="minor"/>
    </font>
    <font>
      <color theme="1"/>
      <name val="Comfortaa"/>
    </font>
    <font>
      <b/>
      <sz val="14.0"/>
      <color rgb="FFFFFFFF"/>
      <name val="Comfortaa"/>
    </font>
    <font>
      <b/>
      <sz val="12.0"/>
      <color rgb="FF45818E"/>
      <name val="Comfortaa"/>
    </font>
    <font>
      <sz val="11.0"/>
      <color rgb="FFFFFFFF"/>
      <name val="Georgia"/>
    </font>
    <font>
      <b/>
      <color theme="0"/>
      <name val="Comfortaa"/>
    </font>
    <font>
      <b/>
      <color rgb="FFFFFFFF"/>
      <name val="Comfortaa"/>
    </font>
    <font/>
    <font>
      <b/>
      <sz val="10.0"/>
      <color rgb="FF45818E"/>
      <name val="Comfortaa"/>
    </font>
    <font>
      <b/>
      <sz val="12.0"/>
      <color rgb="FF000000"/>
      <name val="Comfortaa"/>
    </font>
    <font>
      <b/>
      <sz val="12.0"/>
      <color rgb="FFFFFFFF"/>
      <name val="Comfortaa"/>
    </font>
    <font>
      <color rgb="FF45818E"/>
      <name val="Comfortaa"/>
    </font>
    <font>
      <color rgb="FF134F5C"/>
      <name val="Comfortaa"/>
    </font>
    <font>
      <color rgb="FF76A5AF"/>
      <name val="Comfortaa"/>
    </font>
    <font>
      <color rgb="FF000000"/>
      <name val="Comfortaa"/>
    </font>
    <font>
      <color theme="1"/>
      <name val="Arial"/>
    </font>
    <font>
      <color rgb="FFFFFFFF"/>
      <name val="Comfortaa"/>
    </font>
    <font>
      <color rgb="FF000000"/>
      <name val="Arial"/>
    </font>
    <font>
      <b/>
      <sz val="12.0"/>
      <color rgb="FF76A5AF"/>
      <name val="Comfortaa"/>
    </font>
    <font>
      <sz val="10.0"/>
      <color rgb="FF45818E"/>
      <name val="Comfortaa"/>
    </font>
    <font>
      <sz val="11.0"/>
      <color rgb="FF000000"/>
      <name val="Georgia"/>
    </font>
    <font>
      <b/>
      <color theme="1"/>
      <name val="Comfortaa"/>
    </font>
    <font>
      <b/>
      <color rgb="FF000000"/>
      <name val="Comfortaa"/>
    </font>
    <font>
      <sz val="12.0"/>
      <color rgb="FFFFFFFF"/>
      <name val="Georgia"/>
    </font>
    <font>
      <color rgb="FFFFFFFF"/>
      <name val="Georgia"/>
    </font>
    <font>
      <color rgb="FF000000"/>
      <name val="Georgia"/>
    </font>
    <font>
      <b/>
      <color rgb="FF45818E"/>
      <name val="Comfortaa"/>
    </font>
    <font>
      <sz val="14.0"/>
      <color rgb="FFFFFFFF"/>
      <name val="Georgia"/>
    </font>
    <font>
      <color rgb="FFFFFFFF"/>
      <name val="Arial"/>
      <scheme val="minor"/>
    </font>
    <font>
      <color theme="1"/>
      <name val="Arial"/>
      <scheme val="minor"/>
    </font>
    <font>
      <b/>
      <color rgb="FF134F5C"/>
      <name val="Comfortaa"/>
    </font>
    <font>
      <sz val="10.0"/>
      <color rgb="FF134F5C"/>
      <name val="Comfortaa"/>
    </font>
    <font>
      <color rgb="FF0C343D"/>
      <name val="Comfortaa"/>
    </font>
    <font>
      <color rgb="FF134F5C"/>
      <name val="Arial"/>
      <scheme val="minor"/>
    </font>
    <font>
      <sz val="12.0"/>
      <color rgb="FFFFFFFF"/>
      <name val="Comfortaa"/>
    </font>
    <font>
      <color rgb="FF073763"/>
      <name val="Comfortaa"/>
    </font>
  </fonts>
  <fills count="22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0C343D"/>
        <bgColor rgb="FF0C343D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</fills>
  <borders count="106">
    <border/>
    <border>
      <left style="medium">
        <color rgb="FFD0E0E3"/>
      </left>
      <right style="medium">
        <color rgb="FFD0E0E3"/>
      </right>
      <top style="medium">
        <color rgb="FFD0E0E3"/>
      </top>
      <bottom style="medium">
        <color rgb="FFD0E0E3"/>
      </bottom>
    </border>
    <border>
      <left style="medium">
        <color rgb="FFD0E0E3"/>
      </left>
      <top style="medium">
        <color rgb="FFD0E0E3"/>
      </top>
      <bottom style="medium">
        <color rgb="FFD0E0E3"/>
      </bottom>
    </border>
    <border>
      <right style="medium">
        <color rgb="FFD0E0E3"/>
      </right>
      <top style="medium">
        <color rgb="FFD0E0E3"/>
      </top>
      <bottom style="medium">
        <color rgb="FFD0E0E3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dotted">
        <color rgb="FF76A5AF"/>
      </right>
    </border>
    <border>
      <left style="dotted">
        <color rgb="FF76A5AF"/>
      </left>
      <right style="dotted">
        <color rgb="FF76A5AF"/>
      </right>
    </border>
    <border>
      <left style="dotted">
        <color rgb="FF76A5AF"/>
      </left>
    </border>
    <border>
      <left style="thin">
        <color rgb="FF073763"/>
      </left>
      <right style="thin">
        <color rgb="FF073763"/>
      </right>
      <top style="hair">
        <color rgb="FF073763"/>
      </top>
      <bottom style="hair">
        <color rgb="FF073763"/>
      </bottom>
    </border>
    <border>
      <left style="thin">
        <color rgb="FF45818E"/>
      </left>
      <bottom style="dotted">
        <color rgb="FF45818E"/>
      </bottom>
    </border>
    <border>
      <left style="thin">
        <color rgb="FF45818E"/>
      </left>
      <right style="thin">
        <color rgb="FF45818E"/>
      </right>
      <top style="dotted">
        <color rgb="FF45818E"/>
      </top>
      <bottom style="dotted">
        <color rgb="FF45818E"/>
      </bottom>
    </border>
    <border>
      <left style="thin">
        <color rgb="FF45818E"/>
      </left>
      <right style="thin">
        <color rgb="FF45818E"/>
      </right>
      <bottom style="dotted">
        <color rgb="FF45818E"/>
      </bottom>
    </border>
    <border>
      <right style="thin">
        <color rgb="FF45818E"/>
      </right>
      <bottom style="dotted">
        <color rgb="FF45818E"/>
      </bottom>
    </border>
    <border>
      <bottom style="dotted">
        <color rgb="FF45818E"/>
      </bottom>
    </border>
    <border>
      <left style="thin">
        <color rgb="FF45818E"/>
      </left>
      <top style="dotted">
        <color rgb="FF45818E"/>
      </top>
      <bottom style="dotted">
        <color rgb="FF45818E"/>
      </bottom>
    </border>
    <border>
      <top style="dotted">
        <color rgb="FF45818E"/>
      </top>
      <bottom style="dotted">
        <color rgb="FF45818E"/>
      </bottom>
    </border>
    <border>
      <top style="dotted">
        <color rgb="FF45818E"/>
      </top>
      <bottom style="dotted">
        <color rgb="FFA2C4C9"/>
      </bottom>
    </border>
    <border>
      <bottom style="dotted">
        <color rgb="FFA2C4C9"/>
      </bottom>
    </border>
    <border>
      <left style="thin">
        <color rgb="FF45818E"/>
      </left>
      <top style="dotted">
        <color rgb="FF45818E"/>
      </top>
    </border>
    <border>
      <left style="thin">
        <color rgb="FF45818E"/>
      </left>
    </border>
    <border>
      <left style="thin">
        <color rgb="FF45818E"/>
      </left>
      <right style="thin">
        <color rgb="FF45818E"/>
      </right>
      <top style="dotted">
        <color rgb="FF45818E"/>
      </top>
    </border>
    <border>
      <left style="thin">
        <color rgb="FFA2C4C9"/>
      </left>
      <right style="thin">
        <color rgb="FFA2C4C9"/>
      </right>
      <bottom style="thin">
        <color rgb="FFA2C4C9"/>
      </bottom>
    </border>
    <border>
      <bottom style="dotted">
        <color rgb="FF76A5AF"/>
      </bottom>
    </border>
    <border>
      <top style="dotted">
        <color rgb="FF76A5AF"/>
      </top>
      <bottom style="dotted">
        <color rgb="FF76A5AF"/>
      </bottom>
    </border>
    <border>
      <top style="dotted">
        <color rgb="FF76A5AF"/>
      </top>
    </border>
    <border>
      <left style="thin">
        <color rgb="FF073763"/>
      </left>
      <right style="thin">
        <color rgb="FF073763"/>
      </right>
      <top style="hair">
        <color rgb="FF073763"/>
      </top>
    </border>
    <border>
      <top style="medium">
        <color rgb="FFD0E0E3"/>
      </top>
      <bottom style="medium">
        <color rgb="FFD0E0E3"/>
      </bottom>
    </border>
    <border>
      <left style="medium">
        <color rgb="FFFFFFFF"/>
      </left>
      <right style="thin">
        <color rgb="FFFFFFFF"/>
      </right>
      <top style="medium">
        <color rgb="FFFFFFFF"/>
      </top>
    </border>
    <border>
      <left style="thin">
        <color rgb="FFFFFFFF"/>
      </left>
      <right style="thin">
        <color rgb="FFFFFFFF"/>
      </right>
      <top style="medium">
        <color rgb="FFFFFFFF"/>
      </top>
    </border>
    <border>
      <left style="thin">
        <color rgb="FFFFFFFF"/>
      </left>
      <right style="medium">
        <color rgb="FFFFFFFF"/>
      </right>
      <top style="medium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medium">
        <color rgb="FFFFFFFF"/>
      </right>
    </border>
    <border>
      <left style="medium">
        <color rgb="FFFFFFFF"/>
      </left>
      <right style="thin">
        <color rgb="FFFFFFFF"/>
      </right>
      <top style="thick">
        <color rgb="FFFFFFFF"/>
      </top>
      <bottom style="hair">
        <color rgb="FFD0E0E3"/>
      </bottom>
    </border>
    <border>
      <left style="thin">
        <color rgb="FFFFFFFF"/>
      </left>
      <right style="thin">
        <color rgb="FFFFFFFF"/>
      </right>
      <top style="thick">
        <color rgb="FFFFFFFF"/>
      </top>
      <bottom style="hair">
        <color rgb="FFD0E0E3"/>
      </bottom>
    </border>
    <border>
      <top style="thick">
        <color rgb="FFFFFFFF"/>
      </top>
    </border>
    <border>
      <left style="thin">
        <color rgb="FFFFFFFF"/>
      </left>
      <right style="thin">
        <color rgb="FFFFFFFF"/>
      </right>
      <top style="thick">
        <color rgb="FFFFFFFF"/>
      </top>
    </border>
    <border>
      <left style="medium">
        <color rgb="FFFFFFFF"/>
      </left>
      <right style="thin">
        <color rgb="FFFFFFFF"/>
      </right>
      <top style="hair">
        <color rgb="FFD0E0E3"/>
      </top>
      <bottom style="hair">
        <color rgb="FFD0E0E3"/>
      </bottom>
    </border>
    <border>
      <left style="thin">
        <color rgb="FFFFFFFF"/>
      </left>
      <right style="thin">
        <color rgb="FFFFFFFF"/>
      </right>
      <top style="hair">
        <color rgb="FFD0E0E3"/>
      </top>
      <bottom style="hair">
        <color rgb="FFD0E0E3"/>
      </bottom>
    </border>
    <border>
      <left style="thin">
        <color rgb="FFFFFFFF"/>
      </left>
      <right style="thin">
        <color rgb="FFFFFFFF"/>
      </right>
      <bottom style="hair">
        <color rgb="FFD0E0E3"/>
      </bottom>
    </border>
    <border>
      <left style="medium">
        <color rgb="FFFFFFFF"/>
      </left>
      <right style="thin">
        <color rgb="FFFFFFFF"/>
      </right>
      <top style="hair">
        <color rgb="FFD0E0E3"/>
      </top>
    </border>
    <border>
      <left style="thin">
        <color rgb="FFFFFFFF"/>
      </left>
      <right style="thin">
        <color rgb="FFFFFFFF"/>
      </right>
      <top style="hair">
        <color rgb="FFD0E0E3"/>
      </top>
    </border>
    <border>
      <left style="medium">
        <color rgb="FFFFFFFF"/>
      </left>
      <right style="thin">
        <color rgb="FFFFFFFF"/>
      </right>
      <top style="hair">
        <color rgb="FFD0E0E3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hair">
        <color rgb="FFD0E0E3"/>
      </top>
      <bottom style="medium">
        <color rgb="FFFFFFFF"/>
      </bottom>
    </border>
    <border>
      <bottom style="medium">
        <color rgb="FFFFFFFF"/>
      </bottom>
    </border>
    <border>
      <bottom style="thick">
        <color rgb="FFFFFFFF"/>
      </bottom>
    </border>
    <border>
      <left style="medium">
        <color rgb="FFFFFFFF"/>
      </left>
      <right style="thin">
        <color rgb="FFFFFFFF"/>
      </right>
      <top style="hair">
        <color rgb="FFD0E0E3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hair">
        <color rgb="FFD0E0E3"/>
      </top>
      <bottom style="thick">
        <color rgb="FFFFFFFF"/>
      </bottom>
    </border>
    <border>
      <left style="medium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right style="thin">
        <color rgb="FFFFFFFF"/>
      </right>
      <bottom style="medium">
        <color rgb="FFFFFFFF"/>
      </bottom>
    </border>
    <border>
      <left style="thick">
        <color rgb="FFFFFFFF"/>
      </left>
    </border>
    <border>
      <left style="medium">
        <color rgb="FFD0E0E3"/>
      </left>
      <right style="thin">
        <color rgb="FFD0E0E3"/>
      </right>
      <top style="medium">
        <color rgb="FFD0E0E3"/>
      </top>
    </border>
    <border>
      <left style="thin">
        <color rgb="FFD0E0E3"/>
      </left>
      <right style="thin">
        <color rgb="FFD0E0E3"/>
      </right>
      <top style="medium">
        <color rgb="FFD0E0E3"/>
      </top>
      <bottom style="hair">
        <color rgb="FFD0E0E3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hair">
        <color rgb="FFD0E0E3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left style="medium">
        <color rgb="FFD0E0E3"/>
      </left>
      <right style="thin">
        <color rgb="FFD0E0E3"/>
      </right>
    </border>
    <border>
      <left style="thin">
        <color rgb="FFD0E0E3"/>
      </left>
      <right style="thin">
        <color rgb="FFD0E0E3"/>
      </right>
      <top style="hair">
        <color rgb="FFD0E0E3"/>
      </top>
      <bottom style="hair">
        <color rgb="FFD0E0E3"/>
      </bottom>
    </border>
    <border>
      <left style="thin">
        <color rgb="FFD0E0E3"/>
      </left>
      <right style="medium">
        <color rgb="FFD0E0E3"/>
      </right>
      <top style="hair">
        <color rgb="FFD0E0E3"/>
      </top>
      <bottom style="hair">
        <color rgb="FFD0E0E3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medium">
        <color rgb="FFFFFFFF"/>
      </right>
      <bottom style="thin">
        <color rgb="FFFFFFFF"/>
      </bottom>
    </border>
    <border>
      <left style="medium">
        <color rgb="FFD0E0E3"/>
      </left>
      <right style="thin">
        <color rgb="FFD0E0E3"/>
      </right>
      <bottom style="medium">
        <color rgb="FFD0E0E3"/>
      </bottom>
    </border>
    <border>
      <left style="thin">
        <color rgb="FFD0E0E3"/>
      </left>
      <top style="hair">
        <color rgb="FFD0E0E3"/>
      </top>
      <bottom style="medium">
        <color rgb="FFD0E0E3"/>
      </bottom>
    </border>
    <border>
      <top style="hair">
        <color rgb="FFD0E0E3"/>
      </top>
      <bottom style="medium">
        <color rgb="FFD0E0E3"/>
      </bottom>
    </border>
    <border>
      <right style="medium">
        <color rgb="FFD0E0E3"/>
      </right>
      <top style="hair">
        <color rgb="FFD0E0E3"/>
      </top>
      <bottom style="medium">
        <color rgb="FFD0E0E3"/>
      </bottom>
    </border>
    <border>
      <right style="thin">
        <color rgb="FFD0E0E3"/>
      </right>
      <top style="hair">
        <color rgb="FFD0E0E3"/>
      </top>
      <bottom style="hair">
        <color rgb="FFD0E0E3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medium">
        <color rgb="FFD0E0E3"/>
      </left>
      <top style="medium">
        <color rgb="FFD0E0E3"/>
      </top>
    </border>
    <border>
      <left style="medium">
        <color rgb="FFD0E0E3"/>
      </left>
    </border>
    <border>
      <left style="thin">
        <color rgb="FFD0E0E3"/>
      </left>
      <right style="thin">
        <color rgb="FFD0E0E3"/>
      </right>
      <bottom style="hair">
        <color rgb="FFD0E0E3"/>
      </bottom>
    </border>
    <border>
      <left style="thin">
        <color rgb="FFD0E0E3"/>
      </left>
      <bottom style="hair">
        <color rgb="FFD0E0E3"/>
      </bottom>
    </border>
    <border>
      <left style="thin">
        <color rgb="FFD0E0E3"/>
      </left>
      <top style="hair">
        <color rgb="FFD0E0E3"/>
      </top>
      <bottom style="hair">
        <color rgb="FFD0E0E3"/>
      </bottom>
    </border>
    <border>
      <top style="hair">
        <color rgb="FFD0E0E3"/>
      </top>
      <bottom style="hair">
        <color rgb="FFD0E0E3"/>
      </bottom>
    </border>
    <border>
      <left style="medium">
        <color rgb="FFD0E0E3"/>
      </left>
      <bottom style="medium">
        <color rgb="FFD0E0E3"/>
      </bottom>
    </border>
    <border>
      <left style="thin">
        <color rgb="FFD0E0E3"/>
      </left>
      <top style="hair">
        <color rgb="FFD0E0E3"/>
      </top>
    </border>
    <border>
      <top style="hair">
        <color rgb="FFD0E0E3"/>
      </top>
    </border>
    <border>
      <left style="medium">
        <color rgb="FFFFFFFF"/>
      </left>
      <top style="medium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hair">
        <color rgb="FFD0E0E3"/>
      </bottom>
    </border>
    <border>
      <right style="thin">
        <color rgb="FFFFFFFF"/>
      </right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bottom style="thin">
        <color rgb="FFFFFFFF"/>
      </bottom>
    </border>
    <border>
      <left style="medium">
        <color rgb="FFFFFFFF"/>
      </left>
      <right style="medium">
        <color rgb="FFFFFFFF"/>
      </right>
      <top style="hair">
        <color rgb="FFD0E0E3"/>
      </top>
      <bottom style="thin">
        <color rgb="FFFFFFFF"/>
      </bottom>
    </border>
    <border>
      <right style="medium">
        <color rgb="FFFFFFFF"/>
      </right>
      <top style="hair">
        <color rgb="FFD0E0E3"/>
      </top>
      <bottom style="thin">
        <color rgb="FFFFFFFF"/>
      </bottom>
    </border>
    <border>
      <top style="hair">
        <color rgb="FFD0E0E3"/>
      </top>
      <bottom style="thin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medium">
        <color rgb="FFFFFFFF"/>
      </bottom>
    </border>
    <border>
      <right style="thin">
        <color rgb="FFFFFFFF"/>
      </right>
      <bottom style="medium">
        <color rgb="FFFFFFFF"/>
      </bottom>
    </border>
    <border>
      <top style="thin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dotted">
        <color rgb="FF76A5AF"/>
      </left>
      <right style="dotted">
        <color rgb="FF76A5AF"/>
      </right>
      <top style="medium">
        <color rgb="FFFFFFFF"/>
      </top>
      <bottom style="thin">
        <color rgb="FFA2C4C9"/>
      </bottom>
    </border>
    <border>
      <left style="thin">
        <color rgb="FFFFFFFF"/>
      </left>
      <right style="thin">
        <color rgb="FFFFFFFF"/>
      </right>
      <top style="thin">
        <color rgb="FFA2C4C9"/>
      </top>
      <bottom style="thin">
        <color rgb="FFFFFFFF"/>
      </bottom>
    </border>
    <border>
      <right style="thin">
        <color rgb="FFFFFFFF"/>
      </right>
      <top style="thin">
        <color rgb="FFA2C4C9"/>
      </top>
      <bottom style="thin">
        <color rgb="FFFFFFFF"/>
      </bottom>
    </border>
    <border>
      <right style="thin">
        <color rgb="FFFFFFFF"/>
      </right>
      <top style="medium">
        <color rgb="FFFFFFFF"/>
      </top>
      <bottom style="hair">
        <color rgb="FFD0E0E3"/>
      </bottom>
    </border>
    <border>
      <right style="medium">
        <color rgb="FFFFFFFF"/>
      </right>
      <top style="medium">
        <color rgb="FFFFFFFF"/>
      </top>
      <bottom style="hair">
        <color rgb="FFD0E0E3"/>
      </bottom>
    </border>
  </borders>
  <cellStyleXfs count="1">
    <xf borderId="0" fillId="0" fontId="0" numFmtId="0" applyAlignment="1" applyFont="1"/>
  </cellStyleXfs>
  <cellXfs count="4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 shrinkToFit="0" vertical="center" wrapText="1"/>
    </xf>
    <xf borderId="0" fillId="2" fontId="1" numFmtId="49" xfId="0" applyAlignment="1" applyFont="1" applyNumberFormat="1">
      <alignment horizontal="center" readingOrder="0" vertical="center"/>
    </xf>
    <xf borderId="0" fillId="2" fontId="1" numFmtId="4" xfId="0" applyAlignment="1" applyFont="1" applyNumberFormat="1">
      <alignment horizontal="center" vertical="center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horizontal="center" readingOrder="0" vertical="center"/>
    </xf>
    <xf borderId="0" fillId="2" fontId="1" numFmtId="4" xfId="0" applyAlignment="1" applyFont="1" applyNumberFormat="1">
      <alignment horizontal="center" readingOrder="0" vertical="center"/>
    </xf>
    <xf borderId="0" fillId="2" fontId="1" numFmtId="0" xfId="0" applyAlignment="1" applyFont="1">
      <alignment shrinkToFit="0" vertical="center" wrapText="1"/>
    </xf>
    <xf borderId="0" fillId="2" fontId="1" numFmtId="49" xfId="0" applyAlignment="1" applyFont="1" applyNumberFormat="1">
      <alignment horizontal="center" vertical="center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shrinkToFit="0" vertical="center" wrapText="1"/>
    </xf>
    <xf borderId="0" fillId="2" fontId="4" numFmtId="49" xfId="0" applyAlignment="1" applyFont="1" applyNumberFormat="1">
      <alignment horizontal="center" vertical="center"/>
    </xf>
    <xf borderId="0" fillId="2" fontId="5" numFmtId="0" xfId="0" applyAlignment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vertical="center"/>
    </xf>
    <xf borderId="3" fillId="0" fontId="7" numFmtId="0" xfId="0" applyBorder="1" applyFont="1"/>
    <xf borderId="4" fillId="2" fontId="6" numFmtId="0" xfId="0" applyAlignment="1" applyBorder="1" applyFont="1">
      <alignment horizontal="center" readingOrder="0" vertical="center"/>
    </xf>
    <xf borderId="5" fillId="0" fontId="7" numFmtId="0" xfId="0" applyBorder="1" applyFont="1"/>
    <xf borderId="6" fillId="3" fontId="8" numFmtId="0" xfId="0" applyAlignment="1" applyBorder="1" applyFill="1" applyFont="1">
      <alignment readingOrder="0" vertical="center"/>
    </xf>
    <xf borderId="6" fillId="3" fontId="3" numFmtId="0" xfId="0" applyAlignment="1" applyBorder="1" applyFont="1">
      <alignment horizontal="center" readingOrder="0" vertical="center"/>
    </xf>
    <xf borderId="7" fillId="3" fontId="3" numFmtId="0" xfId="0" applyAlignment="1" applyBorder="1" applyFont="1">
      <alignment horizontal="center" readingOrder="0" vertical="center"/>
    </xf>
    <xf borderId="7" fillId="3" fontId="3" numFmtId="0" xfId="0" applyAlignment="1" applyBorder="1" applyFont="1">
      <alignment readingOrder="0" shrinkToFit="0" vertical="center" wrapText="1"/>
    </xf>
    <xf borderId="7" fillId="3" fontId="3" numFmtId="49" xfId="0" applyAlignment="1" applyBorder="1" applyFont="1" applyNumberFormat="1">
      <alignment horizontal="center" readingOrder="0" vertical="center"/>
    </xf>
    <xf borderId="8" fillId="3" fontId="3" numFmtId="4" xfId="0" applyAlignment="1" applyBorder="1" applyFont="1" applyNumberFormat="1">
      <alignment horizontal="center" readingOrder="0" vertical="center"/>
    </xf>
    <xf borderId="9" fillId="0" fontId="9" numFmtId="4" xfId="0" applyAlignment="1" applyBorder="1" applyFont="1" applyNumberFormat="1">
      <alignment readingOrder="0" vertical="center"/>
    </xf>
    <xf borderId="0" fillId="0" fontId="9" numFmtId="4" xfId="0" applyAlignment="1" applyFont="1" applyNumberFormat="1">
      <alignment readingOrder="0" vertical="center"/>
    </xf>
    <xf borderId="6" fillId="3" fontId="10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shrinkToFit="0" vertical="center" wrapText="1"/>
    </xf>
    <xf borderId="11" fillId="4" fontId="11" numFmtId="49" xfId="0" applyAlignment="1" applyBorder="1" applyFill="1" applyFont="1" applyNumberFormat="1">
      <alignment horizontal="center" readingOrder="0" shrinkToFit="0" vertical="center" wrapText="1"/>
    </xf>
    <xf borderId="12" fillId="4" fontId="11" numFmtId="164" xfId="0" applyAlignment="1" applyBorder="1" applyFont="1" applyNumberFormat="1">
      <alignment horizontal="center" readingOrder="0" vertical="center"/>
    </xf>
    <xf borderId="12" fillId="4" fontId="12" numFmtId="0" xfId="0" applyAlignment="1" applyBorder="1" applyFont="1">
      <alignment horizontal="center" readingOrder="0" shrinkToFit="0" vertical="center" wrapText="1"/>
    </xf>
    <xf borderId="12" fillId="0" fontId="13" numFmtId="0" xfId="0" applyAlignment="1" applyBorder="1" applyFont="1">
      <alignment readingOrder="0" vertical="center"/>
    </xf>
    <xf borderId="13" fillId="4" fontId="1" numFmtId="0" xfId="0" applyAlignment="1" applyBorder="1" applyFont="1">
      <alignment horizontal="center" readingOrder="0" shrinkToFit="0" vertical="center" wrapText="1"/>
    </xf>
    <xf borderId="14" fillId="5" fontId="14" numFmtId="3" xfId="0" applyAlignment="1" applyBorder="1" applyFill="1" applyFont="1" applyNumberFormat="1">
      <alignment horizontal="center" readingOrder="0" shrinkToFit="0" vertical="center" wrapText="1"/>
    </xf>
    <xf borderId="9" fillId="0" fontId="14" numFmtId="3" xfId="0" applyAlignment="1" applyBorder="1" applyFont="1" applyNumberFormat="1">
      <alignment horizontal="right" readingOrder="0" vertical="center"/>
    </xf>
    <xf borderId="0" fillId="0" fontId="14" numFmtId="3" xfId="0" applyAlignment="1" applyFont="1" applyNumberFormat="1">
      <alignment horizontal="right" readingOrder="0" vertical="center"/>
    </xf>
    <xf borderId="13" fillId="5" fontId="14" numFmtId="3" xfId="0" applyAlignment="1" applyBorder="1" applyFont="1" applyNumberFormat="1">
      <alignment horizontal="center" readingOrder="0" shrinkToFit="0" vertical="center" wrapText="1"/>
    </xf>
    <xf borderId="13" fillId="4" fontId="15" numFmtId="0" xfId="0" applyAlignment="1" applyBorder="1" applyFont="1">
      <alignment readingOrder="0" vertical="center"/>
    </xf>
    <xf borderId="12" fillId="0" fontId="13" numFmtId="0" xfId="0" applyAlignment="1" applyBorder="1" applyFont="1">
      <alignment readingOrder="0" shrinkToFit="0" vertical="center" wrapText="1"/>
    </xf>
    <xf borderId="15" fillId="2" fontId="1" numFmtId="0" xfId="0" applyAlignment="1" applyBorder="1" applyFont="1">
      <alignment shrinkToFit="0" vertical="center" wrapText="1"/>
    </xf>
    <xf borderId="9" fillId="0" fontId="14" numFmtId="0" xfId="0" applyAlignment="1" applyBorder="1" applyFont="1">
      <alignment horizontal="right" readingOrder="0" vertical="center"/>
    </xf>
    <xf borderId="13" fillId="4" fontId="12" numFmtId="0" xfId="0" applyAlignment="1" applyBorder="1" applyFont="1">
      <alignment horizontal="center" readingOrder="0" shrinkToFit="0" vertical="center" wrapText="1"/>
    </xf>
    <xf borderId="9" fillId="0" fontId="14" numFmtId="3" xfId="0" applyAlignment="1" applyBorder="1" applyFont="1" applyNumberFormat="1">
      <alignment horizontal="right" readingOrder="0" shrinkToFit="0" vertical="center" wrapText="1"/>
    </xf>
    <xf borderId="0" fillId="0" fontId="14" numFmtId="3" xfId="0" applyAlignment="1" applyFont="1" applyNumberFormat="1">
      <alignment horizontal="right" readingOrder="0" shrinkToFit="0" vertical="center" wrapText="1"/>
    </xf>
    <xf borderId="15" fillId="2" fontId="15" numFmtId="0" xfId="0" applyBorder="1" applyFont="1"/>
    <xf borderId="12" fillId="4" fontId="11" numFmtId="164" xfId="0" applyAlignment="1" applyBorder="1" applyFont="1" applyNumberFormat="1">
      <alignment horizontal="center" readingOrder="0"/>
    </xf>
    <xf borderId="12" fillId="0" fontId="13" numFmtId="0" xfId="0" applyAlignment="1" applyBorder="1" applyFont="1">
      <alignment readingOrder="0" shrinkToFit="0" wrapText="1"/>
    </xf>
    <xf borderId="9" fillId="0" fontId="1" numFmtId="3" xfId="0" applyAlignment="1" applyBorder="1" applyFont="1" applyNumberFormat="1">
      <alignment horizontal="right" readingOrder="0" shrinkToFit="0" wrapText="1"/>
    </xf>
    <xf borderId="0" fillId="0" fontId="1" numFmtId="3" xfId="0" applyAlignment="1" applyFont="1" applyNumberFormat="1">
      <alignment horizontal="right" readingOrder="0" shrinkToFit="0" wrapText="1"/>
    </xf>
    <xf borderId="13" fillId="0" fontId="1" numFmtId="3" xfId="0" applyAlignment="1" applyBorder="1" applyFont="1" applyNumberFormat="1">
      <alignment horizontal="center" shrinkToFit="0" wrapText="1"/>
    </xf>
    <xf borderId="13" fillId="0" fontId="15" numFmtId="0" xfId="0" applyBorder="1" applyFont="1"/>
    <xf borderId="0" fillId="4" fontId="11" numFmtId="49" xfId="0" applyAlignment="1" applyFont="1" applyNumberFormat="1">
      <alignment horizontal="center" readingOrder="0" shrinkToFit="0" vertical="center" wrapText="1"/>
    </xf>
    <xf borderId="0" fillId="4" fontId="11" numFmtId="164" xfId="0" applyAlignment="1" applyFont="1" applyNumberFormat="1">
      <alignment horizontal="center" readingOrder="0" vertical="center"/>
    </xf>
    <xf borderId="0" fillId="4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5" fontId="14" numFmtId="3" xfId="0" applyAlignment="1" applyFont="1" applyNumberFormat="1">
      <alignment horizontal="center" readingOrder="0" shrinkToFit="0" vertical="center" wrapText="1"/>
    </xf>
    <xf borderId="0" fillId="4" fontId="15" numFmtId="0" xfId="0" applyAlignment="1" applyFont="1">
      <alignment readingOrder="0" vertical="center"/>
    </xf>
    <xf borderId="16" fillId="0" fontId="13" numFmtId="0" xfId="0" applyAlignment="1" applyBorder="1" applyFont="1">
      <alignment readingOrder="0" vertical="center"/>
    </xf>
    <xf borderId="11" fillId="4" fontId="12" numFmtId="0" xfId="0" applyAlignment="1" applyBorder="1" applyFont="1">
      <alignment horizontal="center" readingOrder="0" shrinkToFit="0" vertical="center" wrapText="1"/>
    </xf>
    <xf borderId="16" fillId="0" fontId="13" numFmtId="0" xfId="0" applyAlignment="1" applyBorder="1" applyFont="1">
      <alignment readingOrder="0" shrinkToFit="0" vertical="center" wrapText="1"/>
    </xf>
    <xf borderId="11" fillId="4" fontId="1" numFmtId="0" xfId="0" applyAlignment="1" applyBorder="1" applyFont="1">
      <alignment horizontal="center" readingOrder="0" shrinkToFit="0" vertical="center" wrapText="1"/>
    </xf>
    <xf borderId="13" fillId="4" fontId="15" numFmtId="0" xfId="0" applyAlignment="1" applyBorder="1" applyFont="1">
      <alignment vertical="center"/>
    </xf>
    <xf borderId="9" fillId="6" fontId="14" numFmtId="3" xfId="0" applyAlignment="1" applyBorder="1" applyFill="1" applyFont="1" applyNumberFormat="1">
      <alignment horizontal="right" readingOrder="0" vertical="center"/>
    </xf>
    <xf borderId="12" fillId="4" fontId="15" numFmtId="0" xfId="0" applyAlignment="1" applyBorder="1" applyFont="1">
      <alignment readingOrder="0" vertical="center"/>
    </xf>
    <xf borderId="12" fillId="4" fontId="15" numFmtId="0" xfId="0" applyAlignment="1" applyBorder="1" applyFont="1">
      <alignment vertical="center"/>
    </xf>
    <xf borderId="11" fillId="4" fontId="15" numFmtId="0" xfId="0" applyAlignment="1" applyBorder="1" applyFont="1">
      <alignment vertical="center"/>
    </xf>
    <xf borderId="17" fillId="0" fontId="13" numFmtId="0" xfId="0" applyAlignment="1" applyBorder="1" applyFont="1">
      <alignment readingOrder="0" shrinkToFit="0" vertical="center" wrapText="1"/>
    </xf>
    <xf borderId="11" fillId="4" fontId="15" numFmtId="0" xfId="0" applyAlignment="1" applyBorder="1" applyFont="1">
      <alignment readingOrder="0" vertical="center"/>
    </xf>
    <xf borderId="17" fillId="0" fontId="13" numFmtId="0" xfId="0" applyAlignment="1" applyBorder="1" applyFont="1">
      <alignment readingOrder="0" vertical="center"/>
    </xf>
    <xf borderId="18" fillId="0" fontId="13" numFmtId="0" xfId="0" applyAlignment="1" applyBorder="1" applyFont="1">
      <alignment readingOrder="0" vertical="center"/>
    </xf>
    <xf borderId="18" fillId="0" fontId="13" numFmtId="0" xfId="0" applyAlignment="1" applyBorder="1" applyFont="1">
      <alignment readingOrder="0" shrinkToFit="0" vertical="center" wrapText="1"/>
    </xf>
    <xf borderId="15" fillId="2" fontId="15" numFmtId="0" xfId="0" applyAlignment="1" applyBorder="1" applyFont="1">
      <alignment shrinkToFit="0" vertical="center" wrapText="1"/>
    </xf>
    <xf borderId="12" fillId="4" fontId="1" numFmtId="0" xfId="0" applyAlignment="1" applyBorder="1" applyFont="1">
      <alignment horizontal="center" readingOrder="0" shrinkToFit="0" vertical="center" wrapText="1"/>
    </xf>
    <xf borderId="16" fillId="4" fontId="11" numFmtId="164" xfId="0" applyAlignment="1" applyBorder="1" applyFont="1" applyNumberFormat="1">
      <alignment horizontal="center" readingOrder="0" vertical="center"/>
    </xf>
    <xf borderId="16" fillId="4" fontId="11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 vertical="bottom"/>
    </xf>
    <xf borderId="9" fillId="0" fontId="14" numFmtId="3" xfId="0" applyAlignment="1" applyBorder="1" applyFont="1" applyNumberFormat="1">
      <alignment horizontal="right"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4" fontId="16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vertical="bottom"/>
    </xf>
    <xf borderId="18" fillId="0" fontId="13" numFmtId="0" xfId="0" applyAlignment="1" applyBorder="1" applyFont="1">
      <alignment readingOrder="0" vertical="bottom"/>
    </xf>
    <xf borderId="16" fillId="4" fontId="16" numFmtId="164" xfId="0" applyAlignment="1" applyBorder="1" applyFont="1" applyNumberFormat="1">
      <alignment horizontal="center" readingOrder="0" vertical="center"/>
    </xf>
    <xf borderId="18" fillId="0" fontId="13" numFmtId="0" xfId="0" applyAlignment="1" applyBorder="1" applyFont="1">
      <alignment readingOrder="0" shrinkToFit="0" vertical="bottom" wrapText="0"/>
    </xf>
    <xf borderId="9" fillId="0" fontId="1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18" fillId="0" fontId="13" numFmtId="0" xfId="0" applyAlignment="1" applyBorder="1" applyFont="1">
      <alignment vertical="bottom"/>
    </xf>
    <xf borderId="18" fillId="0" fontId="15" numFmtId="0" xfId="0" applyAlignment="1" applyBorder="1" applyFont="1">
      <alignment readingOrder="0" vertical="bottom"/>
    </xf>
    <xf borderId="9" fillId="0" fontId="17" numFmtId="3" xfId="0" applyAlignment="1" applyBorder="1" applyFont="1" applyNumberFormat="1">
      <alignment readingOrder="0" vertical="bottom"/>
    </xf>
    <xf borderId="0" fillId="0" fontId="17" numFmtId="3" xfId="0" applyAlignment="1" applyFont="1" applyNumberFormat="1">
      <alignment readingOrder="0" vertical="bottom"/>
    </xf>
    <xf borderId="15" fillId="2" fontId="11" numFmtId="0" xfId="0" applyAlignment="1" applyBorder="1" applyFont="1">
      <alignment shrinkToFit="0" vertical="center" wrapText="1"/>
    </xf>
    <xf borderId="11" fillId="4" fontId="11" numFmtId="0" xfId="0" applyAlignment="1" applyBorder="1" applyFont="1">
      <alignment horizontal="center" readingOrder="0" shrinkToFit="0" vertical="center" wrapText="1"/>
    </xf>
    <xf borderId="18" fillId="0" fontId="11" numFmtId="0" xfId="0" applyAlignment="1" applyBorder="1" applyFont="1">
      <alignment readingOrder="0" vertical="bottom"/>
    </xf>
    <xf borderId="9" fillId="0" fontId="14" numFmtId="3" xfId="0" applyAlignment="1" applyBorder="1" applyFont="1" applyNumberFormat="1">
      <alignment readingOrder="0" vertical="bottom"/>
    </xf>
    <xf borderId="0" fillId="0" fontId="14" numFmtId="3" xfId="0" applyAlignment="1" applyFont="1" applyNumberFormat="1">
      <alignment readingOrder="0" vertical="bottom"/>
    </xf>
    <xf borderId="18" fillId="0" fontId="11" numFmtId="0" xfId="0" applyAlignment="1" applyBorder="1" applyFont="1">
      <alignment vertical="bottom"/>
    </xf>
    <xf borderId="16" fillId="4" fontId="11" numFmtId="164" xfId="0" applyAlignment="1" applyBorder="1" applyFont="1" applyNumberFormat="1">
      <alignment horizontal="center" vertical="center"/>
    </xf>
    <xf borderId="11" fillId="4" fontId="11" numFmtId="164" xfId="0" applyAlignment="1" applyBorder="1" applyFont="1" applyNumberFormat="1">
      <alignment horizontal="center" readingOrder="0" vertical="center"/>
    </xf>
    <xf borderId="11" fillId="0" fontId="13" numFmtId="0" xfId="0" applyAlignment="1" applyBorder="1" applyFont="1">
      <alignment readingOrder="0" shrinkToFit="0" vertical="center" wrapText="1"/>
    </xf>
    <xf borderId="11" fillId="4" fontId="11" numFmtId="164" xfId="0" applyAlignment="1" applyBorder="1" applyFont="1" applyNumberFormat="1">
      <alignment horizontal="center" vertical="center"/>
    </xf>
    <xf borderId="11" fillId="0" fontId="13" numFmtId="0" xfId="0" applyAlignment="1" applyBorder="1" applyFont="1">
      <alignment shrinkToFit="0" vertical="center" wrapText="1"/>
    </xf>
    <xf borderId="9" fillId="0" fontId="14" numFmtId="3" xfId="0" applyAlignment="1" applyBorder="1" applyFont="1" applyNumberFormat="1">
      <alignment horizontal="right" vertical="center"/>
    </xf>
    <xf borderId="0" fillId="0" fontId="14" numFmtId="3" xfId="0" applyAlignment="1" applyFont="1" applyNumberFormat="1">
      <alignment horizontal="right" vertical="center"/>
    </xf>
    <xf borderId="19" fillId="2" fontId="1" numFmtId="0" xfId="0" applyAlignment="1" applyBorder="1" applyFont="1">
      <alignment shrinkToFit="0" vertical="center" wrapText="1"/>
    </xf>
    <xf borderId="11" fillId="4" fontId="11" numFmtId="164" xfId="0" applyAlignment="1" applyBorder="1" applyFont="1" applyNumberFormat="1">
      <alignment horizontal="center" readingOrder="0" shrinkToFit="0" vertical="center" wrapText="1"/>
    </xf>
    <xf borderId="20" fillId="2" fontId="1" numFmtId="0" xfId="0" applyAlignment="1" applyBorder="1" applyFont="1">
      <alignment shrinkToFit="0" vertical="center" wrapText="1"/>
    </xf>
    <xf borderId="11" fillId="4" fontId="14" numFmtId="3" xfId="0" applyAlignment="1" applyBorder="1" applyFont="1" applyNumberFormat="1">
      <alignment horizontal="center" readingOrder="0" vertical="center"/>
    </xf>
    <xf borderId="21" fillId="4" fontId="11" numFmtId="49" xfId="0" applyAlignment="1" applyBorder="1" applyFont="1" applyNumberFormat="1">
      <alignment horizontal="center" readingOrder="0" shrinkToFit="0" vertical="center" wrapText="1"/>
    </xf>
    <xf borderId="21" fillId="4" fontId="11" numFmtId="164" xfId="0" applyAlignment="1" applyBorder="1" applyFont="1" applyNumberFormat="1">
      <alignment horizontal="center" readingOrder="0" shrinkToFit="0" vertical="center" wrapText="1"/>
    </xf>
    <xf borderId="21" fillId="4" fontId="14" numFmtId="3" xfId="0" applyAlignment="1" applyBorder="1" applyFont="1" applyNumberFormat="1">
      <alignment horizontal="center" readingOrder="0" vertical="center"/>
    </xf>
    <xf borderId="21" fillId="0" fontId="13" numFmtId="0" xfId="0" applyAlignment="1" applyBorder="1" applyFont="1">
      <alignment readingOrder="0" shrinkToFit="0" vertical="center" wrapText="1"/>
    </xf>
    <xf borderId="21" fillId="4" fontId="12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vertical="center"/>
    </xf>
    <xf borderId="6" fillId="4" fontId="16" numFmtId="164" xfId="0" applyAlignment="1" applyBorder="1" applyFont="1" applyNumberFormat="1">
      <alignment readingOrder="0" vertical="center"/>
    </xf>
    <xf borderId="6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7" fillId="0" fontId="18" numFmtId="0" xfId="0" applyAlignment="1" applyBorder="1" applyFont="1">
      <alignment horizontal="right" readingOrder="0" shrinkToFit="0" vertical="center" wrapText="1"/>
    </xf>
    <xf borderId="7" fillId="0" fontId="18" numFmtId="49" xfId="0" applyAlignment="1" applyBorder="1" applyFont="1" applyNumberFormat="1">
      <alignment horizontal="center" readingOrder="0" vertical="center"/>
    </xf>
    <xf borderId="8" fillId="0" fontId="13" numFmtId="3" xfId="0" applyAlignment="1" applyBorder="1" applyFont="1" applyNumberFormat="1">
      <alignment horizontal="center" vertical="center"/>
    </xf>
    <xf borderId="9" fillId="0" fontId="14" numFmtId="3" xfId="0" applyAlignment="1" applyBorder="1" applyFont="1" applyNumberFormat="1">
      <alignment vertical="center"/>
    </xf>
    <xf borderId="0" fillId="0" fontId="14" numFmtId="3" xfId="0" applyAlignment="1" applyFont="1" applyNumberFormat="1">
      <alignment vertical="center"/>
    </xf>
    <xf borderId="6" fillId="2" fontId="16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0" fillId="2" fontId="1" numFmtId="0" xfId="0" applyAlignment="1" applyFont="1">
      <alignment horizontal="center" vertical="center"/>
    </xf>
    <xf borderId="9" fillId="0" fontId="14" numFmtId="4" xfId="0" applyAlignment="1" applyBorder="1" applyFont="1" applyNumberFormat="1">
      <alignment vertical="center"/>
    </xf>
    <xf borderId="0" fillId="0" fontId="14" numFmtId="4" xfId="0" applyAlignment="1" applyFont="1" applyNumberFormat="1">
      <alignment vertical="center"/>
    </xf>
    <xf borderId="0" fillId="2" fontId="1" numFmtId="4" xfId="0" applyAlignment="1" applyFont="1" applyNumberFormat="1">
      <alignment vertical="center"/>
    </xf>
    <xf borderId="0" fillId="2" fontId="16" numFmtId="0" xfId="0" applyAlignment="1" applyFont="1">
      <alignment vertical="center"/>
    </xf>
    <xf borderId="22" fillId="7" fontId="19" numFmtId="3" xfId="0" applyAlignment="1" applyBorder="1" applyFill="1" applyFont="1" applyNumberFormat="1">
      <alignment readingOrder="0" shrinkToFit="0" vertical="center" wrapText="1"/>
    </xf>
    <xf borderId="0" fillId="2" fontId="4" numFmtId="4" xfId="0" applyAlignment="1" applyFont="1" applyNumberFormat="1">
      <alignment horizontal="center" vertical="center"/>
    </xf>
    <xf borderId="9" fillId="0" fontId="20" numFmtId="4" xfId="0" applyAlignment="1" applyBorder="1" applyFont="1" applyNumberFormat="1">
      <alignment vertical="center"/>
    </xf>
    <xf borderId="0" fillId="0" fontId="20" numFmtId="4" xfId="0" applyAlignment="1" applyFont="1" applyNumberFormat="1">
      <alignment vertical="center"/>
    </xf>
    <xf borderId="0" fillId="2" fontId="4" numFmtId="4" xfId="0" applyAlignment="1" applyFont="1" applyNumberFormat="1">
      <alignment vertical="center"/>
    </xf>
    <xf borderId="0" fillId="2" fontId="4" numFmtId="0" xfId="0" applyAlignment="1" applyFont="1">
      <alignment vertical="center"/>
    </xf>
    <xf borderId="0" fillId="2" fontId="21" numFmtId="0" xfId="0" applyAlignment="1" applyFont="1">
      <alignment readingOrder="0" vertical="center"/>
    </xf>
    <xf borderId="0" fillId="2" fontId="21" numFmtId="0" xfId="0" applyAlignment="1" applyFont="1">
      <alignment horizontal="center" readingOrder="0" vertical="center"/>
    </xf>
    <xf borderId="0" fillId="2" fontId="21" numFmtId="0" xfId="0" applyAlignment="1" applyFont="1">
      <alignment readingOrder="0" shrinkToFit="0" vertical="center" wrapText="1"/>
    </xf>
    <xf borderId="0" fillId="2" fontId="21" numFmtId="49" xfId="0" applyAlignment="1" applyFont="1" applyNumberFormat="1">
      <alignment horizontal="center" readingOrder="0" vertical="center"/>
    </xf>
    <xf borderId="0" fillId="2" fontId="21" numFmtId="4" xfId="0" applyAlignment="1" applyFont="1" applyNumberFormat="1">
      <alignment horizontal="center" readingOrder="0" vertical="center"/>
    </xf>
    <xf borderId="9" fillId="0" fontId="22" numFmtId="4" xfId="0" applyAlignment="1" applyBorder="1" applyFont="1" applyNumberFormat="1">
      <alignment readingOrder="0" vertical="center"/>
    </xf>
    <xf borderId="0" fillId="0" fontId="22" numFmtId="4" xfId="0" applyAlignment="1" applyFont="1" applyNumberFormat="1">
      <alignment readingOrder="0" vertical="center"/>
    </xf>
    <xf borderId="0" fillId="2" fontId="21" numFmtId="4" xfId="0" applyAlignment="1" applyFont="1" applyNumberFormat="1">
      <alignment readingOrder="0" vertical="center"/>
    </xf>
    <xf borderId="0" fillId="2" fontId="6" numFmtId="0" xfId="0" applyAlignment="1" applyFont="1">
      <alignment readingOrder="0" vertical="center"/>
    </xf>
    <xf borderId="0" fillId="2" fontId="23" numFmtId="0" xfId="0" applyAlignment="1" applyFont="1">
      <alignment readingOrder="0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shrinkToFit="0" vertical="center" wrapText="1"/>
    </xf>
    <xf borderId="0" fillId="2" fontId="24" numFmtId="49" xfId="0" applyAlignment="1" applyFont="1" applyNumberFormat="1">
      <alignment horizontal="center" vertical="center"/>
    </xf>
    <xf borderId="0" fillId="2" fontId="24" numFmtId="4" xfId="0" applyAlignment="1" applyFont="1" applyNumberFormat="1">
      <alignment horizontal="center" vertical="center"/>
    </xf>
    <xf borderId="9" fillId="0" fontId="25" numFmtId="4" xfId="0" applyAlignment="1" applyBorder="1" applyFont="1" applyNumberFormat="1">
      <alignment vertical="center"/>
    </xf>
    <xf borderId="0" fillId="0" fontId="25" numFmtId="4" xfId="0" applyAlignment="1" applyFont="1" applyNumberFormat="1">
      <alignment vertical="center"/>
    </xf>
    <xf borderId="0" fillId="2" fontId="24" numFmtId="4" xfId="0" applyAlignment="1" applyFont="1" applyNumberFormat="1">
      <alignment vertical="center"/>
    </xf>
    <xf borderId="0" fillId="3" fontId="26" numFmtId="0" xfId="0" applyAlignment="1" applyFont="1">
      <alignment horizontal="center" readingOrder="0" vertical="center"/>
    </xf>
    <xf borderId="0" fillId="3" fontId="26" numFmtId="0" xfId="0" applyAlignment="1" applyFont="1">
      <alignment horizontal="center" readingOrder="0" shrinkToFit="0" vertical="center" wrapText="1"/>
    </xf>
    <xf borderId="0" fillId="3" fontId="26" numFmtId="49" xfId="0" applyAlignment="1" applyFont="1" applyNumberFormat="1">
      <alignment horizontal="center" readingOrder="0" vertical="center"/>
    </xf>
    <xf borderId="0" fillId="3" fontId="26" numFmtId="4" xfId="0" applyAlignment="1" applyFont="1" applyNumberFormat="1">
      <alignment horizontal="center" readingOrder="0" vertical="center"/>
    </xf>
    <xf borderId="9" fillId="0" fontId="22" numFmtId="4" xfId="0" applyAlignment="1" applyBorder="1" applyFont="1" applyNumberFormat="1">
      <alignment horizontal="center" readingOrder="0" vertical="center"/>
    </xf>
    <xf borderId="0" fillId="0" fontId="22" numFmtId="4" xfId="0" applyAlignment="1" applyFont="1" applyNumberForma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borderId="0" fillId="0" fontId="11" numFmtId="3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0" fillId="0" fontId="11" numFmtId="49" xfId="0" applyAlignment="1" applyFont="1" applyNumberFormat="1">
      <alignment horizontal="center" vertical="center"/>
    </xf>
    <xf borderId="0" fillId="0" fontId="11" numFmtId="4" xfId="0" applyAlignment="1" applyFont="1" applyNumberFormat="1">
      <alignment horizontal="center" vertical="center"/>
    </xf>
    <xf borderId="0" fillId="0" fontId="11" numFmtId="4" xfId="0" applyAlignment="1" applyFont="1" applyNumberFormat="1">
      <alignment vertical="center"/>
    </xf>
    <xf borderId="0" fillId="7" fontId="26" numFmtId="3" xfId="0" applyAlignment="1" applyFont="1" applyNumberFormat="1">
      <alignment horizontal="center" readingOrder="0" shrinkToFit="0" vertical="center" wrapText="1"/>
    </xf>
    <xf borderId="0" fillId="2" fontId="26" numFmtId="49" xfId="0" applyAlignment="1" applyFont="1" applyNumberFormat="1">
      <alignment horizontal="center" readingOrder="0" vertical="center"/>
    </xf>
    <xf borderId="0" fillId="2" fontId="26" numFmtId="4" xfId="0" applyAlignment="1" applyFont="1" applyNumberFormat="1">
      <alignment horizontal="center" readingOrder="0" vertical="center"/>
    </xf>
    <xf borderId="23" fillId="0" fontId="1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shrinkToFit="0" vertical="center" wrapText="1"/>
    </xf>
    <xf borderId="23" fillId="0" fontId="1" numFmtId="49" xfId="0" applyAlignment="1" applyBorder="1" applyFont="1" applyNumberFormat="1">
      <alignment horizontal="center" vertical="center"/>
    </xf>
    <xf borderId="23" fillId="0" fontId="1" numFmtId="4" xfId="0" applyAlignment="1" applyBorder="1" applyFont="1" applyNumberFormat="1">
      <alignment horizontal="center" vertical="center"/>
    </xf>
    <xf borderId="0" fillId="0" fontId="1" numFmtId="4" xfId="0" applyAlignment="1" applyFont="1" applyNumberFormat="1">
      <alignment vertical="center"/>
    </xf>
    <xf borderId="24" fillId="0" fontId="1" numFmtId="0" xfId="0" applyAlignment="1" applyBorder="1" applyFont="1">
      <alignment vertical="center"/>
    </xf>
    <xf borderId="24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shrinkToFit="0" vertical="center" wrapText="1"/>
    </xf>
    <xf borderId="24" fillId="0" fontId="1" numFmtId="49" xfId="0" applyAlignment="1" applyBorder="1" applyFont="1" applyNumberFormat="1">
      <alignment horizontal="center" vertical="center"/>
    </xf>
    <xf borderId="24" fillId="0" fontId="1" numFmtId="4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vertical="center"/>
    </xf>
    <xf borderId="25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shrinkToFit="0" vertical="center" wrapText="1"/>
    </xf>
    <xf borderId="25" fillId="0" fontId="1" numFmtId="49" xfId="0" applyAlignment="1" applyBorder="1" applyFont="1" applyNumberFormat="1">
      <alignment horizontal="center" vertical="center"/>
    </xf>
    <xf borderId="25" fillId="0" fontId="1" numFmtId="4" xfId="0" applyAlignment="1" applyBorder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0" fillId="0" fontId="11" numFmtId="3" xfId="0" applyAlignment="1" applyFont="1" applyNumberFormat="1">
      <alignment shrinkToFit="0" vertical="center" wrapText="1"/>
    </xf>
    <xf borderId="0" fillId="0" fontId="11" numFmtId="4" xfId="0" applyAlignment="1" applyFont="1" applyNumberFormat="1">
      <alignment readingOrder="0" shrinkToFit="0" vertical="center" wrapText="1"/>
    </xf>
    <xf borderId="0" fillId="2" fontId="27" numFmtId="0" xfId="0" applyAlignment="1" applyFont="1">
      <alignment readingOrder="0" vertical="center"/>
    </xf>
    <xf borderId="23" fillId="4" fontId="1" numFmtId="0" xfId="0" applyAlignment="1" applyBorder="1" applyFont="1">
      <alignment vertical="center"/>
    </xf>
    <xf borderId="23" fillId="4" fontId="1" numFmtId="0" xfId="0" applyAlignment="1" applyBorder="1" applyFont="1">
      <alignment horizontal="center" vertical="center"/>
    </xf>
    <xf borderId="23" fillId="4" fontId="1" numFmtId="0" xfId="0" applyAlignment="1" applyBorder="1" applyFont="1">
      <alignment shrinkToFit="0" vertical="center" wrapText="1"/>
    </xf>
    <xf borderId="23" fillId="4" fontId="1" numFmtId="49" xfId="0" applyAlignment="1" applyBorder="1" applyFont="1" applyNumberFormat="1">
      <alignment horizontal="center" vertical="center"/>
    </xf>
    <xf borderId="23" fillId="4" fontId="1" numFmtId="4" xfId="0" applyAlignment="1" applyBorder="1" applyFont="1" applyNumberFormat="1">
      <alignment horizontal="center" vertical="center"/>
    </xf>
    <xf borderId="0" fillId="4" fontId="1" numFmtId="4" xfId="0" applyAlignment="1" applyFont="1" applyNumberFormat="1">
      <alignment vertical="center"/>
    </xf>
    <xf borderId="24" fillId="4" fontId="1" numFmtId="0" xfId="0" applyAlignment="1" applyBorder="1" applyFont="1">
      <alignment vertical="center"/>
    </xf>
    <xf borderId="24" fillId="4" fontId="1" numFmtId="0" xfId="0" applyAlignment="1" applyBorder="1" applyFont="1">
      <alignment horizontal="center" vertical="center"/>
    </xf>
    <xf borderId="24" fillId="4" fontId="1" numFmtId="0" xfId="0" applyAlignment="1" applyBorder="1" applyFont="1">
      <alignment shrinkToFit="0" vertical="center" wrapText="1"/>
    </xf>
    <xf borderId="24" fillId="4" fontId="1" numFmtId="49" xfId="0" applyAlignment="1" applyBorder="1" applyFont="1" applyNumberFormat="1">
      <alignment horizontal="center" vertical="center"/>
    </xf>
    <xf borderId="24" fillId="4" fontId="1" numFmtId="4" xfId="0" applyAlignment="1" applyBorder="1" applyFont="1" applyNumberFormat="1">
      <alignment horizontal="center" vertical="center"/>
    </xf>
    <xf borderId="25" fillId="4" fontId="1" numFmtId="0" xfId="0" applyAlignment="1" applyBorder="1" applyFont="1">
      <alignment vertical="center"/>
    </xf>
    <xf borderId="25" fillId="4" fontId="1" numFmtId="0" xfId="0" applyAlignment="1" applyBorder="1" applyFont="1">
      <alignment horizontal="center" vertical="center"/>
    </xf>
    <xf borderId="25" fillId="4" fontId="1" numFmtId="0" xfId="0" applyAlignment="1" applyBorder="1" applyFont="1">
      <alignment shrinkToFit="0" vertical="center" wrapText="1"/>
    </xf>
    <xf borderId="25" fillId="4" fontId="1" numFmtId="49" xfId="0" applyAlignment="1" applyBorder="1" applyFont="1" applyNumberFormat="1">
      <alignment horizontal="center" vertical="center"/>
    </xf>
    <xf borderId="25" fillId="4" fontId="1" numFmtId="4" xfId="0" applyAlignment="1" applyBorder="1" applyFont="1" applyNumberFormat="1">
      <alignment horizontal="center" vertical="center"/>
    </xf>
    <xf borderId="26" fillId="0" fontId="14" numFmtId="4" xfId="0" applyAlignment="1" applyBorder="1" applyFont="1" applyNumberFormat="1">
      <alignment vertical="center"/>
    </xf>
    <xf borderId="0" fillId="8" fontId="16" numFmtId="0" xfId="0" applyAlignment="1" applyFill="1" applyFont="1">
      <alignment horizontal="center" readingOrder="0" vertical="center"/>
    </xf>
    <xf borderId="0" fillId="5" fontId="16" numFmtId="0" xfId="0" applyAlignment="1" applyFont="1">
      <alignment horizontal="center" vertical="center"/>
    </xf>
    <xf borderId="0" fillId="5" fontId="14" numFmtId="0" xfId="0" applyAlignment="1" applyFont="1">
      <alignment horizontal="center" vertical="center"/>
    </xf>
    <xf borderId="27" fillId="0" fontId="7" numFmtId="0" xfId="0" applyBorder="1" applyFont="1"/>
    <xf borderId="0" fillId="2" fontId="6" numFmtId="0" xfId="0" applyAlignment="1" applyFont="1">
      <alignment horizontal="center" readingOrder="0" vertical="center"/>
    </xf>
    <xf borderId="0" fillId="2" fontId="6" numFmtId="9" xfId="0" applyAlignment="1" applyFont="1" applyNumberFormat="1">
      <alignment horizontal="center" readingOrder="0" vertical="center"/>
    </xf>
    <xf borderId="28" fillId="5" fontId="16" numFmtId="0" xfId="0" applyAlignment="1" applyBorder="1" applyFont="1">
      <alignment horizontal="center" vertical="center"/>
    </xf>
    <xf borderId="29" fillId="5" fontId="14" numFmtId="0" xfId="0" applyAlignment="1" applyBorder="1" applyFont="1">
      <alignment horizontal="center" vertical="center"/>
    </xf>
    <xf borderId="29" fillId="4" fontId="12" numFmtId="0" xfId="0" applyAlignment="1" applyBorder="1" applyFont="1">
      <alignment horizontal="center" readingOrder="0" shrinkToFit="0" vertical="center" wrapText="1"/>
    </xf>
    <xf borderId="30" fillId="5" fontId="16" numFmtId="0" xfId="0" applyAlignment="1" applyBorder="1" applyFont="1">
      <alignment horizontal="center" readingOrder="0" vertical="center"/>
    </xf>
    <xf borderId="0" fillId="5" fontId="16" numFmtId="3" xfId="0" applyAlignment="1" applyFont="1" applyNumberFormat="1">
      <alignment horizontal="center" readingOrder="0" vertical="center"/>
    </xf>
    <xf borderId="31" fillId="4" fontId="12" numFmtId="0" xfId="0" applyAlignment="1" applyBorder="1" applyFont="1">
      <alignment horizontal="center" readingOrder="0" shrinkToFit="0" vertical="center" wrapText="1"/>
    </xf>
    <xf borderId="32" fillId="5" fontId="16" numFmtId="0" xfId="0" applyAlignment="1" applyBorder="1" applyFont="1">
      <alignment horizontal="center" readingOrder="0" vertical="center"/>
    </xf>
    <xf borderId="0" fillId="5" fontId="12" numFmtId="3" xfId="0" applyAlignment="1" applyFont="1" applyNumberFormat="1">
      <alignment horizontal="center" readingOrder="0" vertical="center"/>
    </xf>
    <xf borderId="0" fillId="2" fontId="16" numFmtId="3" xfId="0" applyAlignment="1" applyFont="1" applyNumberFormat="1">
      <alignment horizontal="center" readingOrder="0" vertical="center"/>
    </xf>
    <xf borderId="33" fillId="2" fontId="16" numFmtId="3" xfId="0" applyAlignment="1" applyBorder="1" applyFont="1" applyNumberFormat="1">
      <alignment horizontal="center" readingOrder="0" vertical="center"/>
    </xf>
    <xf borderId="34" fillId="2" fontId="14" numFmtId="3" xfId="0" applyAlignment="1" applyBorder="1" applyFont="1" applyNumberFormat="1">
      <alignment horizontal="center" readingOrder="0" vertical="center"/>
    </xf>
    <xf borderId="34" fillId="5" fontId="16" numFmtId="3" xfId="0" applyAlignment="1" applyBorder="1" applyFont="1" applyNumberFormat="1">
      <alignment horizontal="center" vertical="center"/>
    </xf>
    <xf borderId="35" fillId="2" fontId="16" numFmtId="3" xfId="0" applyAlignment="1" applyBorder="1" applyFont="1" applyNumberFormat="1">
      <alignment horizontal="center" readingOrder="0" vertical="center"/>
    </xf>
    <xf borderId="35" fillId="5" fontId="16" numFmtId="9" xfId="0" applyAlignment="1" applyBorder="1" applyFont="1" applyNumberFormat="1">
      <alignment horizontal="center" vertical="center"/>
    </xf>
    <xf borderId="35" fillId="5" fontId="16" numFmtId="3" xfId="0" applyAlignment="1" applyBorder="1" applyFont="1" applyNumberFormat="1">
      <alignment horizontal="center" vertical="center"/>
    </xf>
    <xf borderId="36" fillId="2" fontId="14" numFmtId="3" xfId="0" applyAlignment="1" applyBorder="1" applyFont="1" applyNumberFormat="1">
      <alignment horizontal="center" readingOrder="0" vertical="center"/>
    </xf>
    <xf borderId="37" fillId="5" fontId="16" numFmtId="165" xfId="0" applyAlignment="1" applyBorder="1" applyFont="1" applyNumberFormat="1">
      <alignment horizontal="center" readingOrder="0" vertical="center"/>
    </xf>
    <xf borderId="38" fillId="5" fontId="14" numFmtId="3" xfId="0" applyAlignment="1" applyBorder="1" applyFont="1" applyNumberFormat="1">
      <alignment horizontal="center" readingOrder="0" shrinkToFit="0" vertical="center" wrapText="1"/>
    </xf>
    <xf borderId="38" fillId="5" fontId="16" numFmtId="3" xfId="0" applyAlignment="1" applyBorder="1" applyFont="1" applyNumberFormat="1">
      <alignment horizontal="center" vertical="center"/>
    </xf>
    <xf borderId="0" fillId="5" fontId="16" numFmtId="9" xfId="0" applyAlignment="1" applyFont="1" applyNumberFormat="1">
      <alignment horizontal="center" vertical="center"/>
    </xf>
    <xf borderId="31" fillId="0" fontId="7" numFmtId="0" xfId="0" applyBorder="1" applyFont="1"/>
    <xf borderId="39" fillId="0" fontId="7" numFmtId="0" xfId="0" applyBorder="1" applyFont="1"/>
    <xf borderId="40" fillId="5" fontId="16" numFmtId="165" xfId="0" applyAlignment="1" applyBorder="1" applyFont="1" applyNumberFormat="1">
      <alignment horizontal="center" readingOrder="0" vertical="center"/>
    </xf>
    <xf borderId="41" fillId="5" fontId="14" numFmtId="3" xfId="0" applyAlignment="1" applyBorder="1" applyFont="1" applyNumberFormat="1">
      <alignment horizontal="center" readingOrder="0" shrinkToFit="0" vertical="center" wrapText="1"/>
    </xf>
    <xf borderId="41" fillId="5" fontId="16" numFmtId="3" xfId="0" applyAlignment="1" applyBorder="1" applyFont="1" applyNumberFormat="1">
      <alignment horizontal="center" vertical="center"/>
    </xf>
    <xf borderId="0" fillId="5" fontId="16" numFmtId="0" xfId="0" applyAlignment="1" applyFont="1">
      <alignment horizontal="center" readingOrder="0" vertical="center"/>
    </xf>
    <xf borderId="38" fillId="5" fontId="16" numFmtId="3" xfId="0" applyAlignment="1" applyBorder="1" applyFont="1" applyNumberFormat="1">
      <alignment horizontal="center" readingOrder="0" vertical="center"/>
    </xf>
    <xf borderId="37" fillId="5" fontId="16" numFmtId="0" xfId="0" applyAlignment="1" applyBorder="1" applyFont="1">
      <alignment horizontal="center" readingOrder="0" vertical="center"/>
    </xf>
    <xf borderId="0" fillId="8" fontId="16" numFmtId="9" xfId="0" applyAlignment="1" applyFont="1" applyNumberFormat="1">
      <alignment horizontal="center" vertical="center"/>
    </xf>
    <xf borderId="42" fillId="5" fontId="16" numFmtId="0" xfId="0" applyAlignment="1" applyBorder="1" applyFont="1">
      <alignment horizontal="center" readingOrder="0" vertical="center"/>
    </xf>
    <xf borderId="43" fillId="5" fontId="14" numFmtId="3" xfId="0" applyAlignment="1" applyBorder="1" applyFont="1" applyNumberFormat="1">
      <alignment horizontal="center" readingOrder="0" shrinkToFit="0" vertical="center" wrapText="1"/>
    </xf>
    <xf borderId="43" fillId="5" fontId="16" numFmtId="3" xfId="0" applyAlignment="1" applyBorder="1" applyFont="1" applyNumberFormat="1">
      <alignment horizontal="center" vertical="center"/>
    </xf>
    <xf borderId="44" fillId="2" fontId="16" numFmtId="3" xfId="0" applyAlignment="1" applyBorder="1" applyFont="1" applyNumberFormat="1">
      <alignment horizontal="center" readingOrder="0" vertical="center"/>
    </xf>
    <xf borderId="44" fillId="5" fontId="16" numFmtId="9" xfId="0" applyAlignment="1" applyBorder="1" applyFont="1" applyNumberFormat="1">
      <alignment horizontal="center" vertical="center"/>
    </xf>
    <xf borderId="44" fillId="8" fontId="16" numFmtId="9" xfId="0" applyAlignment="1" applyBorder="1" applyFont="1" applyNumberFormat="1">
      <alignment horizontal="center" vertical="center"/>
    </xf>
    <xf borderId="45" fillId="0" fontId="7" numFmtId="0" xfId="0" applyBorder="1" applyFont="1"/>
    <xf borderId="0" fillId="5" fontId="16" numFmtId="3" xfId="0" applyAlignment="1" applyFont="1" applyNumberFormat="1">
      <alignment horizontal="center" vertical="center"/>
    </xf>
    <xf borderId="46" fillId="5" fontId="16" numFmtId="165" xfId="0" applyAlignment="1" applyBorder="1" applyFont="1" applyNumberFormat="1">
      <alignment horizontal="center" readingOrder="0" vertical="center"/>
    </xf>
    <xf borderId="47" fillId="5" fontId="14" numFmtId="3" xfId="0" applyAlignment="1" applyBorder="1" applyFont="1" applyNumberFormat="1">
      <alignment horizontal="center" readingOrder="0" shrinkToFit="0" vertical="center" wrapText="1"/>
    </xf>
    <xf borderId="47" fillId="5" fontId="16" numFmtId="3" xfId="0" applyAlignment="1" applyBorder="1" applyFont="1" applyNumberFormat="1">
      <alignment horizontal="center" vertical="center"/>
    </xf>
    <xf borderId="45" fillId="2" fontId="16" numFmtId="3" xfId="0" applyAlignment="1" applyBorder="1" applyFont="1" applyNumberFormat="1">
      <alignment horizontal="center" readingOrder="0" vertical="center"/>
    </xf>
    <xf borderId="45" fillId="5" fontId="16" numFmtId="9" xfId="0" applyAlignment="1" applyBorder="1" applyFont="1" applyNumberFormat="1">
      <alignment horizontal="center" vertical="center"/>
    </xf>
    <xf borderId="31" fillId="2" fontId="14" numFmtId="3" xfId="0" applyAlignment="1" applyBorder="1" applyFont="1" applyNumberFormat="1">
      <alignment horizontal="center" readingOrder="0" vertical="center"/>
    </xf>
    <xf borderId="0" fillId="5" fontId="28" numFmtId="3" xfId="0" applyAlignment="1" applyFont="1" applyNumberFormat="1">
      <alignment horizontal="center" vertical="center"/>
    </xf>
    <xf borderId="0" fillId="4" fontId="16" numFmtId="0" xfId="0" applyAlignment="1" applyFont="1">
      <alignment horizontal="center" vertical="center"/>
    </xf>
    <xf borderId="48" fillId="4" fontId="16" numFmtId="0" xfId="0" applyAlignment="1" applyBorder="1" applyFont="1">
      <alignment horizontal="center" vertical="center"/>
    </xf>
    <xf borderId="49" fillId="4" fontId="26" numFmtId="0" xfId="0" applyAlignment="1" applyBorder="1" applyFont="1">
      <alignment horizontal="center" readingOrder="0" vertical="center"/>
    </xf>
    <xf borderId="49" fillId="4" fontId="26" numFmtId="3" xfId="0" applyAlignment="1" applyBorder="1" applyFont="1" applyNumberFormat="1">
      <alignment horizontal="center" readingOrder="0" vertical="center"/>
    </xf>
    <xf borderId="49" fillId="4" fontId="26" numFmtId="9" xfId="0" applyAlignment="1" applyBorder="1" applyFont="1" applyNumberFormat="1">
      <alignment horizontal="center" readingOrder="0" vertical="center"/>
    </xf>
    <xf borderId="50" fillId="8" fontId="16" numFmtId="0" xfId="0" applyAlignment="1" applyBorder="1" applyFont="1">
      <alignment horizontal="center" readingOrder="0" vertical="center"/>
    </xf>
    <xf borderId="0" fillId="0" fontId="29" numFmtId="9" xfId="0" applyFont="1" applyNumberFormat="1"/>
    <xf borderId="0" fillId="5" fontId="16" numFmtId="0" xfId="0" applyAlignment="1" applyFont="1">
      <alignment horizontal="center" readingOrder="0" textRotation="90" vertical="center"/>
    </xf>
    <xf borderId="51" fillId="5" fontId="16" numFmtId="0" xfId="0" applyAlignment="1" applyBorder="1" applyFont="1">
      <alignment horizontal="center" readingOrder="0" textRotation="90" vertical="center"/>
    </xf>
    <xf borderId="52" fillId="4" fontId="30" numFmtId="0" xfId="0" applyAlignment="1" applyBorder="1" applyFont="1">
      <alignment horizontal="center" readingOrder="0" vertical="center"/>
    </xf>
    <xf borderId="53" fillId="4" fontId="12" numFmtId="0" xfId="0" applyAlignment="1" applyBorder="1" applyFont="1">
      <alignment horizontal="center" readingOrder="0" shrinkToFit="0" textRotation="0" vertical="center" wrapText="1"/>
    </xf>
    <xf borderId="0" fillId="0" fontId="29" numFmtId="3" xfId="0" applyAlignment="1" applyFont="1" applyNumberFormat="1">
      <alignment readingOrder="0"/>
    </xf>
    <xf borderId="54" fillId="2" fontId="6" numFmtId="0" xfId="0" applyAlignment="1" applyBorder="1" applyFont="1">
      <alignment horizontal="center" readingOrder="0" vertical="center"/>
    </xf>
    <xf borderId="55" fillId="2" fontId="6" numFmtId="0" xfId="0" applyAlignment="1" applyBorder="1" applyFont="1">
      <alignment horizontal="center" readingOrder="0" vertical="center"/>
    </xf>
    <xf borderId="56" fillId="2" fontId="6" numFmtId="0" xfId="0" applyAlignment="1" applyBorder="1" applyFont="1">
      <alignment horizontal="center" readingOrder="0" vertical="center"/>
    </xf>
    <xf borderId="57" fillId="0" fontId="7" numFmtId="0" xfId="0" applyBorder="1" applyFont="1"/>
    <xf borderId="58" fillId="3" fontId="12" numFmtId="3" xfId="0" applyAlignment="1" applyBorder="1" applyFont="1" applyNumberFormat="1">
      <alignment horizontal="center" readingOrder="0" vertical="center"/>
    </xf>
    <xf borderId="59" fillId="3" fontId="12" numFmtId="3" xfId="0" applyAlignment="1" applyBorder="1" applyFont="1" applyNumberFormat="1">
      <alignment horizontal="center" readingOrder="0" vertical="center"/>
    </xf>
    <xf borderId="0" fillId="0" fontId="29" numFmtId="3" xfId="0" applyFont="1" applyNumberFormat="1"/>
    <xf borderId="60" fillId="5" fontId="31" numFmtId="3" xfId="0" applyAlignment="1" applyBorder="1" applyFont="1" applyNumberFormat="1">
      <alignment horizontal="center" readingOrder="0" vertical="center"/>
    </xf>
    <xf borderId="61" fillId="9" fontId="12" numFmtId="3" xfId="0" applyAlignment="1" applyBorder="1" applyFill="1" applyFont="1" applyNumberFormat="1">
      <alignment horizontal="center" readingOrder="0" vertical="center"/>
    </xf>
    <xf borderId="62" fillId="3" fontId="12" numFmtId="164" xfId="0" applyAlignment="1" applyBorder="1" applyFont="1" applyNumberFormat="1">
      <alignment horizontal="center" readingOrder="0" vertical="center"/>
    </xf>
    <xf borderId="62" fillId="3" fontId="15" numFmtId="164" xfId="0" applyAlignment="1" applyBorder="1" applyFont="1" applyNumberFormat="1">
      <alignment vertical="center"/>
    </xf>
    <xf borderId="62" fillId="4" fontId="12" numFmtId="3" xfId="0" applyAlignment="1" applyBorder="1" applyFont="1" applyNumberFormat="1">
      <alignment horizontal="center" vertical="center"/>
    </xf>
    <xf borderId="62" fillId="4" fontId="12" numFmtId="10" xfId="0" applyAlignment="1" applyBorder="1" applyFont="1" applyNumberFormat="1">
      <alignment horizontal="center" readingOrder="0" vertical="center"/>
    </xf>
    <xf borderId="63" fillId="4" fontId="12" numFmtId="3" xfId="0" applyAlignment="1" applyBorder="1" applyFont="1" applyNumberFormat="1">
      <alignment horizontal="center" vertical="center"/>
    </xf>
    <xf borderId="0" fillId="4" fontId="12" numFmtId="0" xfId="0" applyAlignment="1" applyFont="1">
      <alignment horizontal="center" vertical="bottom"/>
    </xf>
    <xf borderId="64" fillId="9" fontId="12" numFmtId="3" xfId="0" applyAlignment="1" applyBorder="1" applyFont="1" applyNumberFormat="1">
      <alignment horizontal="center" vertical="center"/>
    </xf>
    <xf borderId="65" fillId="3" fontId="12" numFmtId="164" xfId="0" applyAlignment="1" applyBorder="1" applyFont="1" applyNumberFormat="1">
      <alignment horizontal="center" readingOrder="0" vertical="center"/>
    </xf>
    <xf borderId="65" fillId="3" fontId="15" numFmtId="164" xfId="0" applyAlignment="1" applyBorder="1" applyFont="1" applyNumberFormat="1">
      <alignment vertical="center"/>
    </xf>
    <xf borderId="65" fillId="3" fontId="12" numFmtId="3" xfId="0" applyAlignment="1" applyBorder="1" applyFont="1" applyNumberFormat="1">
      <alignment horizontal="center" vertical="center"/>
    </xf>
    <xf borderId="65" fillId="3" fontId="12" numFmtId="10" xfId="0" applyAlignment="1" applyBorder="1" applyFont="1" applyNumberFormat="1">
      <alignment horizontal="center" readingOrder="0" vertical="center"/>
    </xf>
    <xf borderId="66" fillId="3" fontId="12" numFmtId="3" xfId="0" applyAlignment="1" applyBorder="1" applyFont="1" applyNumberFormat="1">
      <alignment horizontal="center" vertical="center"/>
    </xf>
    <xf borderId="0" fillId="4" fontId="12" numFmtId="0" xfId="0" applyAlignment="1" applyFont="1">
      <alignment horizontal="center"/>
    </xf>
    <xf borderId="0" fillId="0" fontId="29" numFmtId="0" xfId="0" applyFont="1"/>
    <xf borderId="64" fillId="9" fontId="12" numFmtId="3" xfId="0" applyAlignment="1" applyBorder="1" applyFont="1" applyNumberFormat="1">
      <alignment horizontal="center" readingOrder="0" vertical="center"/>
    </xf>
    <xf borderId="65" fillId="4" fontId="12" numFmtId="164" xfId="0" applyAlignment="1" applyBorder="1" applyFont="1" applyNumberFormat="1">
      <alignment horizontal="center" readingOrder="0" vertical="center"/>
    </xf>
    <xf borderId="65" fillId="4" fontId="15" numFmtId="164" xfId="0" applyAlignment="1" applyBorder="1" applyFont="1" applyNumberFormat="1">
      <alignment vertical="center"/>
    </xf>
    <xf borderId="65" fillId="4" fontId="12" numFmtId="3" xfId="0" applyAlignment="1" applyBorder="1" applyFont="1" applyNumberFormat="1">
      <alignment horizontal="center" vertical="center"/>
    </xf>
    <xf borderId="65" fillId="4" fontId="12" numFmtId="10" xfId="0" applyAlignment="1" applyBorder="1" applyFont="1" applyNumberFormat="1">
      <alignment horizontal="center" readingOrder="0" vertical="center"/>
    </xf>
    <xf borderId="66" fillId="4" fontId="12" numFmtId="3" xfId="0" applyAlignment="1" applyBorder="1" applyFont="1" applyNumberFormat="1">
      <alignment horizontal="center" vertical="center"/>
    </xf>
    <xf borderId="0" fillId="3" fontId="12" numFmtId="0" xfId="0" applyAlignment="1" applyFont="1">
      <alignment horizontal="center" readingOrder="0" vertical="center"/>
    </xf>
    <xf borderId="0" fillId="3" fontId="12" numFmtId="0" xfId="0" applyAlignment="1" applyFont="1">
      <alignment horizontal="center"/>
    </xf>
    <xf borderId="58" fillId="10" fontId="32" numFmtId="3" xfId="0" applyAlignment="1" applyBorder="1" applyFill="1" applyFont="1" applyNumberFormat="1">
      <alignment horizontal="center" readingOrder="0" vertical="center"/>
    </xf>
    <xf borderId="0" fillId="0" fontId="29" numFmtId="3" xfId="0" applyAlignment="1" applyFont="1" applyNumberFormat="1">
      <alignment readingOrder="0" vertical="center"/>
    </xf>
    <xf borderId="67" fillId="0" fontId="7" numFmtId="0" xfId="0" applyBorder="1" applyFont="1"/>
    <xf borderId="68" fillId="5" fontId="10" numFmtId="3" xfId="0" applyAlignment="1" applyBorder="1" applyFont="1" applyNumberFormat="1">
      <alignment horizontal="center" readingOrder="0" vertical="center"/>
    </xf>
    <xf borderId="69" fillId="5" fontId="10" numFmtId="3" xfId="0" applyAlignment="1" applyBorder="1" applyFont="1" applyNumberFormat="1">
      <alignment horizontal="center" readingOrder="0" vertical="center"/>
    </xf>
    <xf borderId="69" fillId="0" fontId="7" numFmtId="0" xfId="0" applyBorder="1" applyFont="1"/>
    <xf borderId="70" fillId="0" fontId="7" numFmtId="0" xfId="0" applyBorder="1" applyFont="1"/>
    <xf borderId="0" fillId="8" fontId="16" numFmtId="0" xfId="0" applyAlignment="1" applyFont="1">
      <alignment horizontal="center" vertical="center"/>
    </xf>
    <xf borderId="0" fillId="8" fontId="10" numFmtId="3" xfId="0" applyAlignment="1" applyFont="1" applyNumberFormat="1">
      <alignment horizontal="center" readingOrder="0" vertical="center"/>
    </xf>
    <xf borderId="0" fillId="8" fontId="29" numFmtId="0" xfId="0" applyFont="1"/>
    <xf borderId="0" fillId="8" fontId="33" numFmtId="0" xfId="0" applyFont="1"/>
    <xf borderId="0" fillId="0" fontId="33" numFmtId="0" xfId="0" applyFont="1"/>
    <xf borderId="0" fillId="5" fontId="16" numFmtId="0" xfId="0" applyAlignment="1" applyFont="1">
      <alignment horizontal="center" readingOrder="0" shrinkToFit="0" textRotation="90" vertical="center" wrapText="1"/>
    </xf>
    <xf borderId="51" fillId="5" fontId="16" numFmtId="0" xfId="0" applyAlignment="1" applyBorder="1" applyFont="1">
      <alignment horizontal="center" readingOrder="0" shrinkToFit="0" textRotation="90" vertical="center" wrapText="1"/>
    </xf>
    <xf borderId="52" fillId="4" fontId="30" numFmtId="0" xfId="0" applyAlignment="1" applyBorder="1" applyFont="1">
      <alignment horizontal="center" readingOrder="0" shrinkToFit="0" vertical="center" wrapText="1"/>
    </xf>
    <xf borderId="38" fillId="2" fontId="14" numFmtId="3" xfId="0" applyAlignment="1" applyBorder="1" applyFont="1" applyNumberFormat="1">
      <alignment horizontal="center" readingOrder="0" shrinkToFit="0" vertical="center" wrapText="1"/>
    </xf>
    <xf borderId="38" fillId="2" fontId="12" numFmtId="3" xfId="0" applyAlignment="1" applyBorder="1" applyFont="1" applyNumberFormat="1">
      <alignment horizontal="center" readingOrder="0" shrinkToFit="0" vertical="center" wrapText="1"/>
    </xf>
    <xf borderId="58" fillId="3" fontId="12" numFmtId="3" xfId="0" applyAlignment="1" applyBorder="1" applyFont="1" applyNumberFormat="1">
      <alignment horizontal="center" readingOrder="0" vertical="bottom"/>
    </xf>
    <xf borderId="71" fillId="3" fontId="12" numFmtId="3" xfId="0" applyAlignment="1" applyBorder="1" applyFont="1" applyNumberFormat="1">
      <alignment horizontal="center" readingOrder="0" vertical="bottom"/>
    </xf>
    <xf borderId="58" fillId="3" fontId="12" numFmtId="3" xfId="0" applyAlignment="1" applyBorder="1" applyFont="1" applyNumberFormat="1">
      <alignment horizontal="center"/>
    </xf>
    <xf borderId="64" fillId="6" fontId="12" numFmtId="3" xfId="0" applyAlignment="1" applyBorder="1" applyFont="1" applyNumberFormat="1">
      <alignment horizontal="center" vertical="center"/>
    </xf>
    <xf borderId="65" fillId="3" fontId="12" numFmtId="164" xfId="0" applyAlignment="1" applyBorder="1" applyFont="1" applyNumberFormat="1">
      <alignment horizontal="center" vertical="center"/>
    </xf>
    <xf borderId="65" fillId="3" fontId="12" numFmtId="10" xfId="0" applyAlignment="1" applyBorder="1" applyFont="1" applyNumberFormat="1">
      <alignment horizontal="center" vertical="center"/>
    </xf>
    <xf borderId="0" fillId="5" fontId="31" numFmtId="0" xfId="0" applyAlignment="1" applyFont="1">
      <alignment horizontal="center" vertical="center"/>
    </xf>
    <xf borderId="64" fillId="3" fontId="12" numFmtId="3" xfId="0" applyAlignment="1" applyBorder="1" applyFont="1" applyNumberFormat="1">
      <alignment horizontal="center"/>
    </xf>
    <xf borderId="64" fillId="5" fontId="12" numFmtId="164" xfId="0" applyAlignment="1" applyBorder="1" applyFont="1" applyNumberFormat="1">
      <alignment horizontal="center"/>
    </xf>
    <xf borderId="61" fillId="5" fontId="31" numFmtId="3" xfId="0" applyAlignment="1" applyBorder="1" applyFont="1" applyNumberFormat="1">
      <alignment horizontal="center" vertical="center"/>
    </xf>
    <xf borderId="64" fillId="5" fontId="12" numFmtId="10" xfId="0" applyAlignment="1" applyBorder="1" applyFont="1" applyNumberFormat="1">
      <alignment horizontal="center"/>
    </xf>
    <xf borderId="72" fillId="5" fontId="31" numFmtId="3" xfId="0" applyAlignment="1" applyBorder="1" applyFont="1" applyNumberFormat="1">
      <alignment horizontal="center" vertical="center"/>
    </xf>
    <xf borderId="73" fillId="4" fontId="26" numFmtId="0" xfId="0" applyAlignment="1" applyBorder="1" applyFont="1">
      <alignment readingOrder="0" shrinkToFit="0" vertical="center" wrapText="1"/>
    </xf>
    <xf borderId="74" fillId="4" fontId="26" numFmtId="3" xfId="0" applyAlignment="1" applyBorder="1" applyFont="1" applyNumberFormat="1">
      <alignment vertical="center"/>
    </xf>
    <xf borderId="75" fillId="4" fontId="26" numFmtId="3" xfId="0" applyAlignment="1" applyBorder="1" applyFont="1" applyNumberFormat="1">
      <alignment vertical="center"/>
    </xf>
    <xf borderId="76" fillId="5" fontId="16" numFmtId="9" xfId="0" applyAlignment="1" applyBorder="1" applyFont="1" applyNumberFormat="1">
      <alignment horizontal="center" readingOrder="0" vertical="center"/>
    </xf>
    <xf borderId="77" fillId="5" fontId="16" numFmtId="9" xfId="0" applyAlignment="1" applyBorder="1" applyFont="1" applyNumberFormat="1">
      <alignment horizontal="right"/>
    </xf>
    <xf borderId="68" fillId="5" fontId="34" numFmtId="3" xfId="0" applyAlignment="1" applyBorder="1" applyFont="1" applyNumberFormat="1">
      <alignment horizontal="center" readingOrder="0" vertical="center"/>
    </xf>
    <xf borderId="0" fillId="8" fontId="16" numFmtId="0" xfId="0" applyAlignment="1" applyFont="1">
      <alignment horizontal="center" readingOrder="0" textRotation="90" vertical="center"/>
    </xf>
    <xf borderId="0" fillId="8" fontId="34" numFmtId="0" xfId="0" applyAlignment="1" applyFont="1">
      <alignment horizontal="center" readingOrder="0" vertical="center"/>
    </xf>
    <xf borderId="78" fillId="5" fontId="16" numFmtId="0" xfId="0" applyAlignment="1" applyBorder="1" applyFont="1">
      <alignment horizontal="center" readingOrder="0" textRotation="90" vertical="center"/>
    </xf>
    <xf borderId="0" fillId="4" fontId="30" numFmtId="0" xfId="0" applyAlignment="1" applyFont="1">
      <alignment horizontal="center" readingOrder="0" vertical="center"/>
    </xf>
    <xf borderId="0" fillId="11" fontId="6" numFmtId="0" xfId="0" applyAlignment="1" applyFill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12" fontId="30" numFmtId="0" xfId="0" applyAlignment="1" applyFill="1" applyFont="1">
      <alignment horizontal="center" readingOrder="0" shrinkToFit="0" vertical="center" wrapText="1"/>
    </xf>
    <xf borderId="0" fillId="13" fontId="6" numFmtId="0" xfId="0" applyAlignment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0" fillId="4" fontId="30" numFmtId="0" xfId="0" applyAlignment="1" applyFont="1">
      <alignment horizontal="center" readingOrder="0" shrinkToFit="0" vertical="center" wrapText="1"/>
    </xf>
    <xf borderId="60" fillId="5" fontId="16" numFmtId="9" xfId="0" applyAlignment="1" applyBorder="1" applyFont="1" applyNumberFormat="1">
      <alignment horizontal="center" readingOrder="0" vertical="center"/>
    </xf>
    <xf borderId="79" fillId="0" fontId="7" numFmtId="0" xfId="0" applyBorder="1" applyFont="1"/>
    <xf borderId="80" fillId="3" fontId="12" numFmtId="3" xfId="0" applyAlignment="1" applyBorder="1" applyFont="1" applyNumberFormat="1">
      <alignment horizontal="center" readingOrder="0" vertical="center"/>
    </xf>
    <xf borderId="80" fillId="4" fontId="12" numFmtId="0" xfId="0" applyAlignment="1" applyBorder="1" applyFont="1">
      <alignment horizontal="center" readingOrder="0" shrinkToFit="0" vertical="center" wrapText="1"/>
    </xf>
    <xf borderId="81" fillId="4" fontId="12" numFmtId="0" xfId="0" applyAlignment="1" applyBorder="1" applyFont="1">
      <alignment horizontal="center" readingOrder="0" shrinkToFit="0" vertical="center" wrapText="1"/>
    </xf>
    <xf borderId="38" fillId="5" fontId="12" numFmtId="3" xfId="0" applyAlignment="1" applyBorder="1" applyFont="1" applyNumberFormat="1">
      <alignment horizontal="center" vertical="center"/>
    </xf>
    <xf borderId="0" fillId="6" fontId="29" numFmtId="3" xfId="0" applyFont="1" applyNumberFormat="1"/>
    <xf borderId="82" fillId="10" fontId="32" numFmtId="3" xfId="0" applyAlignment="1" applyBorder="1" applyFont="1" applyNumberFormat="1">
      <alignment horizontal="center" readingOrder="0" vertical="center"/>
    </xf>
    <xf borderId="71" fillId="0" fontId="7" numFmtId="0" xfId="0" applyBorder="1" applyFont="1"/>
    <xf borderId="83" fillId="0" fontId="7" numFmtId="0" xfId="0" applyBorder="1" applyFont="1"/>
    <xf borderId="84" fillId="0" fontId="7" numFmtId="0" xfId="0" applyBorder="1" applyFont="1"/>
    <xf borderId="85" fillId="10" fontId="32" numFmtId="3" xfId="0" applyAlignment="1" applyBorder="1" applyFont="1" applyNumberFormat="1">
      <alignment horizontal="center" readingOrder="0" vertical="center"/>
    </xf>
    <xf borderId="85" fillId="11" fontId="6" numFmtId="3" xfId="0" applyAlignment="1" applyBorder="1" applyFont="1" applyNumberFormat="1">
      <alignment horizontal="center" readingOrder="0" vertical="center"/>
    </xf>
    <xf borderId="86" fillId="0" fontId="7" numFmtId="0" xfId="0" applyBorder="1" applyFont="1"/>
    <xf borderId="0" fillId="5" fontId="16" numFmtId="3" xfId="0" applyAlignment="1" applyFont="1" applyNumberFormat="1">
      <alignment horizontal="center" vertical="bottom"/>
    </xf>
    <xf borderId="44" fillId="5" fontId="16" numFmtId="3" xfId="0" applyAlignment="1" applyBorder="1" applyFont="1" applyNumberFormat="1">
      <alignment horizontal="center" readingOrder="0" vertical="bottom"/>
    </xf>
    <xf borderId="87" fillId="2" fontId="6" numFmtId="0" xfId="0" applyAlignment="1" applyBorder="1" applyFont="1">
      <alignment horizontal="center" readingOrder="0" vertical="center"/>
    </xf>
    <xf borderId="53" fillId="2" fontId="14" numFmtId="3" xfId="0" applyAlignment="1" applyBorder="1" applyFont="1" applyNumberFormat="1">
      <alignment horizontal="center" readingOrder="0" shrinkToFit="0" vertical="center" wrapText="1"/>
    </xf>
    <xf borderId="88" fillId="2" fontId="14" numFmtId="3" xfId="0" applyAlignment="1" applyBorder="1" applyFont="1" applyNumberFormat="1">
      <alignment horizontal="center" readingOrder="0" shrinkToFit="0" vertical="center" wrapText="1"/>
    </xf>
    <xf borderId="89" fillId="5" fontId="16" numFmtId="0" xfId="0" applyAlignment="1" applyBorder="1" applyFont="1">
      <alignment horizontal="center" readingOrder="0" textRotation="90" vertical="center"/>
    </xf>
    <xf borderId="90" fillId="5" fontId="16" numFmtId="0" xfId="0" applyAlignment="1" applyBorder="1" applyFont="1">
      <alignment horizontal="center" readingOrder="0" textRotation="90" vertical="center"/>
    </xf>
    <xf borderId="91" fillId="2" fontId="6" numFmtId="0" xfId="0" applyAlignment="1" applyBorder="1" applyFont="1">
      <alignment horizontal="center" readingOrder="0" vertical="center"/>
    </xf>
    <xf borderId="92" fillId="2" fontId="6" numFmtId="9" xfId="0" applyAlignment="1" applyBorder="1" applyFont="1" applyNumberFormat="1">
      <alignment horizontal="center"/>
    </xf>
    <xf borderId="93" fillId="2" fontId="6" numFmtId="9" xfId="0" applyAlignment="1" applyBorder="1" applyFont="1" applyNumberFormat="1">
      <alignment horizontal="center"/>
    </xf>
    <xf borderId="94" fillId="2" fontId="6" numFmtId="9" xfId="0" applyAlignment="1" applyBorder="1" applyFont="1" applyNumberFormat="1">
      <alignment horizontal="center"/>
    </xf>
    <xf borderId="89" fillId="0" fontId="7" numFmtId="0" xfId="0" applyBorder="1" applyFont="1"/>
    <xf borderId="0" fillId="2" fontId="14" numFmtId="3" xfId="0" applyAlignment="1" applyFont="1" applyNumberFormat="1">
      <alignment horizontal="center" readingOrder="0" shrinkToFit="0" vertical="center" wrapText="1"/>
    </xf>
    <xf borderId="31" fillId="2" fontId="14" numFmtId="3" xfId="0" applyAlignment="1" applyBorder="1" applyFont="1" applyNumberFormat="1">
      <alignment horizontal="center" readingOrder="0" shrinkToFit="0" vertical="center" wrapText="1"/>
    </xf>
    <xf borderId="89" fillId="2" fontId="14" numFmtId="3" xfId="0" applyAlignment="1" applyBorder="1" applyFont="1" applyNumberFormat="1">
      <alignment horizontal="center" readingOrder="0" shrinkToFit="0" vertical="center" wrapText="1"/>
    </xf>
    <xf borderId="95" fillId="0" fontId="7" numFmtId="0" xfId="0" applyBorder="1" applyFont="1"/>
    <xf borderId="76" fillId="5" fontId="16" numFmtId="49" xfId="0" applyAlignment="1" applyBorder="1" applyFont="1" applyNumberFormat="1">
      <alignment horizontal="center" readingOrder="0" vertical="center"/>
    </xf>
    <xf borderId="77" fillId="5" fontId="16" numFmtId="3" xfId="0" applyAlignment="1" applyBorder="1" applyFont="1" applyNumberFormat="1">
      <alignment horizontal="right"/>
    </xf>
    <xf borderId="77" fillId="5" fontId="16" numFmtId="3" xfId="0" applyAlignment="1" applyBorder="1" applyFont="1" applyNumberFormat="1">
      <alignment horizontal="right" readingOrder="0" vertical="bottom"/>
    </xf>
    <xf borderId="63" fillId="5" fontId="16" numFmtId="3" xfId="0" applyAlignment="1" applyBorder="1" applyFont="1" applyNumberFormat="1">
      <alignment horizontal="right" vertical="bottom"/>
    </xf>
    <xf borderId="96" fillId="2" fontId="6" numFmtId="0" xfId="0" applyAlignment="1" applyBorder="1" applyFont="1">
      <alignment horizontal="center" readingOrder="0" vertical="center"/>
    </xf>
    <xf borderId="77" fillId="5" fontId="16" numFmtId="3" xfId="0" applyAlignment="1" applyBorder="1" applyFont="1" applyNumberFormat="1">
      <alignment horizontal="right" readingOrder="0"/>
    </xf>
    <xf borderId="60" fillId="5" fontId="16" numFmtId="49" xfId="0" applyAlignment="1" applyBorder="1" applyFont="1" applyNumberFormat="1">
      <alignment horizontal="center" readingOrder="0" vertical="center"/>
    </xf>
    <xf borderId="62" fillId="15" fontId="16" numFmtId="3" xfId="0" applyAlignment="1" applyBorder="1" applyFill="1" applyFont="1" applyNumberFormat="1">
      <alignment horizontal="right"/>
    </xf>
    <xf borderId="61" fillId="15" fontId="16" numFmtId="3" xfId="0" applyAlignment="1" applyBorder="1" applyFont="1" applyNumberFormat="1">
      <alignment horizontal="right"/>
    </xf>
    <xf borderId="62" fillId="16" fontId="16" numFmtId="3" xfId="0" applyAlignment="1" applyBorder="1" applyFill="1" applyFont="1" applyNumberFormat="1">
      <alignment horizontal="right"/>
    </xf>
    <xf borderId="97" fillId="4" fontId="26" numFmtId="3" xfId="0" applyAlignment="1" applyBorder="1" applyFont="1" applyNumberFormat="1">
      <alignment vertical="center"/>
    </xf>
    <xf borderId="98" fillId="0" fontId="7" numFmtId="0" xfId="0" applyBorder="1" applyFont="1"/>
    <xf borderId="99" fillId="4" fontId="26" numFmtId="3" xfId="0" applyAlignment="1" applyBorder="1" applyFont="1" applyNumberFormat="1">
      <alignment vertical="center"/>
    </xf>
    <xf borderId="100" fillId="0" fontId="7" numFmtId="0" xfId="0" applyBorder="1" applyFont="1"/>
    <xf borderId="0" fillId="4" fontId="26" numFmtId="0" xfId="0" applyAlignment="1" applyFont="1">
      <alignment readingOrder="0" shrinkToFit="0" vertical="center" wrapText="1"/>
    </xf>
    <xf borderId="0" fillId="4" fontId="26" numFmtId="3" xfId="0" applyAlignment="1" applyFont="1" applyNumberFormat="1">
      <alignment readingOrder="0" vertical="center"/>
    </xf>
    <xf borderId="0" fillId="4" fontId="26" numFmtId="3" xfId="0" applyAlignment="1" applyFont="1" applyNumberFormat="1">
      <alignment vertical="center"/>
    </xf>
    <xf borderId="0" fillId="5" fontId="16" numFmtId="3" xfId="0" applyAlignment="1" applyFont="1" applyNumberFormat="1">
      <alignment horizontal="center" readingOrder="0" textRotation="0" vertical="center"/>
    </xf>
    <xf borderId="0" fillId="4" fontId="26" numFmtId="10" xfId="0" applyAlignment="1" applyFont="1" applyNumberFormat="1">
      <alignment vertical="center"/>
    </xf>
    <xf borderId="0" fillId="4" fontId="26" numFmtId="3" xfId="0" applyAlignment="1" applyFont="1" applyNumberFormat="1">
      <alignment readingOrder="0" shrinkToFit="0" vertical="center" wrapText="1"/>
    </xf>
    <xf borderId="0" fillId="5" fontId="1" numFmtId="0" xfId="0" applyAlignment="1" applyFont="1">
      <alignment readingOrder="0" vertical="center"/>
    </xf>
    <xf borderId="0" fillId="5" fontId="10" numFmtId="0" xfId="0" applyAlignment="1" applyFont="1">
      <alignment horizontal="center" readingOrder="0" shrinkToFit="0" vertical="center" wrapText="1"/>
    </xf>
    <xf borderId="0" fillId="5" fontId="16" numFmtId="3" xfId="0" applyAlignment="1" applyFont="1" applyNumberFormat="1">
      <alignment readingOrder="0" vertical="center"/>
    </xf>
    <xf borderId="0" fillId="5" fontId="1" numFmtId="3" xfId="0" applyAlignment="1" applyFont="1" applyNumberFormat="1">
      <alignment readingOrder="0" vertical="center"/>
    </xf>
    <xf borderId="0" fillId="5" fontId="1" numFmtId="3" xfId="0" applyAlignment="1" applyFont="1" applyNumberFormat="1">
      <alignment vertical="center"/>
    </xf>
    <xf borderId="54" fillId="2" fontId="16" numFmtId="0" xfId="0" applyAlignment="1" applyBorder="1" applyFont="1">
      <alignment horizontal="center" readingOrder="0" shrinkToFit="0" vertical="center" wrapText="1"/>
    </xf>
    <xf borderId="101" fillId="17" fontId="16" numFmtId="0" xfId="0" applyAlignment="1" applyBorder="1" applyFill="1" applyFont="1">
      <alignment horizontal="center" readingOrder="0" shrinkToFit="0" vertical="center" wrapText="1"/>
    </xf>
    <xf borderId="101" fillId="18" fontId="16" numFmtId="0" xfId="0" applyAlignment="1" applyBorder="1" applyFill="1" applyFont="1">
      <alignment horizontal="center" readingOrder="0" shrinkToFit="0" vertical="center" wrapText="1"/>
    </xf>
    <xf borderId="101" fillId="19" fontId="35" numFmtId="0" xfId="0" applyAlignment="1" applyBorder="1" applyFill="1" applyFont="1">
      <alignment horizontal="center" readingOrder="0" shrinkToFit="0" vertical="center" wrapText="1"/>
    </xf>
    <xf borderId="101" fillId="20" fontId="16" numFmtId="0" xfId="0" applyAlignment="1" applyBorder="1" applyFill="1" applyFont="1">
      <alignment horizontal="center" readingOrder="0" shrinkToFit="0" vertical="center" wrapText="1"/>
    </xf>
    <xf borderId="101" fillId="21" fontId="16" numFmtId="0" xfId="0" applyAlignment="1" applyBorder="1" applyFill="1" applyFont="1">
      <alignment horizontal="center" readingOrder="0" shrinkToFit="0" vertical="center" wrapText="1"/>
    </xf>
    <xf borderId="55" fillId="2" fontId="6" numFmtId="3" xfId="0" applyAlignment="1" applyBorder="1" applyFont="1" applyNumberFormat="1">
      <alignment horizontal="center" readingOrder="0" vertical="center"/>
    </xf>
    <xf borderId="101" fillId="2" fontId="16" numFmtId="0" xfId="0" applyAlignment="1" applyBorder="1" applyFont="1">
      <alignment horizontal="center" readingOrder="0" shrinkToFit="0" vertical="center" wrapText="1"/>
    </xf>
    <xf borderId="102" fillId="5" fontId="16" numFmtId="3" xfId="0" applyAlignment="1" applyBorder="1" applyFont="1" applyNumberFormat="1">
      <alignment horizontal="right" readingOrder="0" vertical="center"/>
    </xf>
    <xf borderId="103" fillId="5" fontId="16" numFmtId="3" xfId="0" applyAlignment="1" applyBorder="1" applyFont="1" applyNumberFormat="1">
      <alignment horizontal="right" readingOrder="0" vertical="center"/>
    </xf>
    <xf borderId="61" fillId="3" fontId="16" numFmtId="3" xfId="0" applyAlignment="1" applyBorder="1" applyFont="1" applyNumberFormat="1">
      <alignment vertical="center"/>
    </xf>
    <xf borderId="72" fillId="5" fontId="16" numFmtId="3" xfId="0" applyAlignment="1" applyBorder="1" applyFont="1" applyNumberFormat="1">
      <alignment readingOrder="0" vertical="center"/>
    </xf>
    <xf borderId="64" fillId="5" fontId="16" numFmtId="3" xfId="0" applyAlignment="1" applyBorder="1" applyFont="1" applyNumberFormat="1">
      <alignment horizontal="right" readingOrder="0" vertical="center"/>
    </xf>
    <xf borderId="65" fillId="5" fontId="16" numFmtId="3" xfId="0" applyAlignment="1" applyBorder="1" applyFont="1" applyNumberFormat="1">
      <alignment horizontal="right" readingOrder="0" vertical="center"/>
    </xf>
    <xf borderId="65" fillId="5" fontId="16" numFmtId="3" xfId="0" applyAlignment="1" applyBorder="1" applyFont="1" applyNumberFormat="1">
      <alignment horizontal="right" vertical="center"/>
    </xf>
    <xf borderId="64" fillId="5" fontId="16" numFmtId="3" xfId="0" applyAlignment="1" applyBorder="1" applyFont="1" applyNumberFormat="1">
      <alignment horizontal="right" vertical="center"/>
    </xf>
    <xf borderId="61" fillId="5" fontId="16" numFmtId="3" xfId="0" applyAlignment="1" applyBorder="1" applyFont="1" applyNumberFormat="1">
      <alignment horizontal="right" readingOrder="0" vertical="center"/>
    </xf>
    <xf borderId="62" fillId="5" fontId="16" numFmtId="3" xfId="0" applyAlignment="1" applyBorder="1" applyFont="1" applyNumberFormat="1">
      <alignment horizontal="right" vertical="center"/>
    </xf>
    <xf borderId="62" fillId="5" fontId="16" numFmtId="3" xfId="0" applyAlignment="1" applyBorder="1" applyFont="1" applyNumberFormat="1">
      <alignment horizontal="right" readingOrder="0" vertical="center"/>
    </xf>
    <xf borderId="61" fillId="5" fontId="16" numFmtId="3" xfId="0" applyAlignment="1" applyBorder="1" applyFont="1" applyNumberFormat="1">
      <alignment readingOrder="0" vertical="center"/>
    </xf>
    <xf borderId="73" fillId="4" fontId="3" numFmtId="0" xfId="0" applyAlignment="1" applyBorder="1" applyFont="1">
      <alignment horizontal="center" readingOrder="0" shrinkToFit="0" vertical="center" wrapText="1"/>
    </xf>
    <xf borderId="74" fillId="3" fontId="16" numFmtId="3" xfId="0" applyAlignment="1" applyBorder="1" applyFont="1" applyNumberFormat="1">
      <alignment vertical="center"/>
    </xf>
    <xf borderId="75" fillId="5" fontId="1" numFmtId="3" xfId="0" applyAlignment="1" applyBorder="1" applyFont="1" applyNumberFormat="1">
      <alignment vertical="center"/>
    </xf>
    <xf borderId="0" fillId="5" fontId="16" numFmtId="0" xfId="0" applyAlignment="1" applyFont="1">
      <alignment readingOrder="0" shrinkToFit="0" vertical="center" wrapText="0"/>
    </xf>
    <xf borderId="0" fillId="5" fontId="16" numFmtId="3" xfId="0" applyAlignment="1" applyFont="1" applyNumberFormat="1">
      <alignment vertical="center"/>
    </xf>
    <xf borderId="53" fillId="0" fontId="1" numFmtId="3" xfId="0" applyAlignment="1" applyBorder="1" applyFont="1" applyNumberFormat="1">
      <alignment horizontal="center" shrinkToFit="0" wrapText="1"/>
    </xf>
    <xf borderId="104" fillId="0" fontId="1" numFmtId="3" xfId="0" applyAlignment="1" applyBorder="1" applyFont="1" applyNumberFormat="1">
      <alignment horizontal="center" shrinkToFit="0" wrapText="1"/>
    </xf>
    <xf borderId="105" fillId="0" fontId="1" numFmtId="3" xfId="0" applyAlignment="1" applyBorder="1" applyFont="1" applyNumberFormat="1">
      <alignment horizontal="center" shrinkToFit="0" wrapText="1"/>
    </xf>
    <xf borderId="0" fillId="5" fontId="6" numFmtId="3" xfId="0" applyAlignment="1" applyFont="1" applyNumberFormat="1">
      <alignment horizontal="center" readingOrder="0" vertical="center"/>
    </xf>
    <xf borderId="64" fillId="5" fontId="16" numFmtId="3" xfId="0" applyAlignment="1" applyBorder="1" applyFont="1" applyNumberFormat="1">
      <alignment horizontal="right" readingOrder="0"/>
    </xf>
    <xf borderId="65" fillId="5" fontId="16" numFmtId="3" xfId="0" applyAlignment="1" applyBorder="1" applyFont="1" applyNumberFormat="1">
      <alignment horizontal="right" readingOrder="0"/>
    </xf>
    <xf borderId="64" fillId="5" fontId="16" numFmtId="3" xfId="0" applyAlignment="1" applyBorder="1" applyFont="1" applyNumberFormat="1">
      <alignment horizontal="right"/>
    </xf>
    <xf borderId="65" fillId="5" fontId="16" numFmtId="3" xfId="0" applyAlignment="1" applyBorder="1" applyFont="1" applyNumberFormat="1">
      <alignment horizontal="right"/>
    </xf>
    <xf borderId="0" fillId="5" fontId="26" numFmtId="0" xfId="0" applyAlignment="1" applyFont="1">
      <alignment readingOrder="0" shrinkToFit="0" vertical="center" wrapText="1"/>
    </xf>
    <xf borderId="0" fillId="5" fontId="26" numFmtId="3" xfId="0" applyAlignment="1" applyFont="1" applyNumberForma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  <tableStyles count="1">
    <tableStyle count="3" pivot="0" name="Spending 25.04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Education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'Money plan yearly'!$C$18:$C$29</c:f>
              <c:numCache/>
            </c:numRef>
          </c:val>
          <c:smooth val="1"/>
        </c:ser>
        <c:ser>
          <c:idx val="1"/>
          <c:order val="1"/>
          <c:tx>
            <c:v>Enjoy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'Money plan yearly'!$D$18:$D$29</c:f>
              <c:numCache/>
            </c:numRef>
          </c:val>
          <c:smooth val="1"/>
        </c:ser>
        <c:ser>
          <c:idx val="2"/>
          <c:order val="2"/>
          <c:tx>
            <c:v>For give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'Money plan yearly'!$E$18:$E$29</c:f>
              <c:numCache/>
            </c:numRef>
          </c:val>
          <c:smooth val="1"/>
        </c:ser>
        <c:ser>
          <c:idx val="3"/>
          <c:order val="3"/>
          <c:tx>
            <c:v>Health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'Money plan yearly'!$F$18:$F$29</c:f>
              <c:numCache/>
            </c:numRef>
          </c:val>
          <c:smooth val="1"/>
        </c:ser>
        <c:ser>
          <c:idx val="4"/>
          <c:order val="4"/>
          <c:tx>
            <c:v>Living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'Money plan yearly'!$G$18:$G$29</c:f>
              <c:numCache/>
            </c:numRef>
          </c:val>
          <c:smooth val="1"/>
        </c:ser>
        <c:ser>
          <c:idx val="5"/>
          <c:order val="5"/>
          <c:tx>
            <c:v>Saving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'Money plan yearly'!$H$18:$H$29</c:f>
              <c:numCache/>
            </c:numRef>
          </c:val>
          <c:smooth val="1"/>
        </c:ser>
        <c:axId val="1850685886"/>
        <c:axId val="895634379"/>
      </c:lineChart>
      <c:catAx>
        <c:axId val="1850685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634379"/>
      </c:catAx>
      <c:valAx>
        <c:axId val="895634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685886"/>
      </c:valAx>
    </c:plotArea>
    <c:legend>
      <c:legendPos val="r"/>
      <c:legendEntry>
        <c:idx val="5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800100</xdr:colOff>
      <xdr:row>1</xdr:row>
      <xdr:rowOff>295275</xdr:rowOff>
    </xdr:from>
    <xdr:ext cx="5715000" cy="3533775"/>
    <xdr:pic>
      <xdr:nvPicPr>
        <xdr:cNvPr id="1141402192" name="Chart1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5715000" cy="353377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U63:AC7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pending 25.0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11.38"/>
    <col customWidth="1" min="4" max="4" width="18.88"/>
    <col customWidth="1" min="5" max="5" width="37.63"/>
    <col customWidth="1" min="6" max="7" width="18.88"/>
    <col customWidth="1" min="8" max="9" width="12.63"/>
    <col customWidth="1" min="10" max="11" width="18.88"/>
  </cols>
  <sheetData>
    <row r="1" ht="37.5" customHeight="1">
      <c r="A1" s="1" t="s">
        <v>0</v>
      </c>
      <c r="B1" s="1"/>
      <c r="C1" s="2"/>
      <c r="D1" s="2"/>
      <c r="E1" s="3"/>
      <c r="F1" s="4"/>
      <c r="G1" s="5"/>
      <c r="H1" s="5"/>
      <c r="I1" s="5"/>
      <c r="J1" s="5"/>
      <c r="K1" s="5"/>
    </row>
    <row r="2" ht="22.5" customHeight="1">
      <c r="A2" s="1"/>
      <c r="B2" s="6" t="s">
        <v>1</v>
      </c>
      <c r="C2" s="7"/>
      <c r="D2" s="7"/>
      <c r="E2" s="8" t="s">
        <v>2</v>
      </c>
      <c r="F2" s="9" t="s">
        <v>3</v>
      </c>
      <c r="G2" s="5"/>
      <c r="H2" s="5"/>
      <c r="I2" s="5"/>
      <c r="J2" s="5"/>
      <c r="K2" s="10">
        <v>2.9625E7</v>
      </c>
    </row>
    <row r="3" ht="22.5" customHeight="1">
      <c r="A3" s="1"/>
      <c r="B3" s="1"/>
      <c r="C3" s="2"/>
      <c r="D3" s="2"/>
      <c r="E3" s="11"/>
      <c r="F3" s="12"/>
      <c r="G3" s="5"/>
      <c r="H3" s="5">
        <f>sum(H7:H10)</f>
        <v>29625000</v>
      </c>
      <c r="I3" s="5"/>
      <c r="J3" s="5"/>
      <c r="K3" s="10">
        <f>K2-H7-H8-H9</f>
        <v>11325000</v>
      </c>
    </row>
    <row r="4" ht="22.5" customHeight="1">
      <c r="A4" s="1"/>
      <c r="B4" s="13" t="s">
        <v>4</v>
      </c>
      <c r="C4" s="14"/>
      <c r="D4" s="14"/>
      <c r="E4" s="15"/>
      <c r="F4" s="16"/>
      <c r="G4" s="5"/>
      <c r="H4" s="5"/>
      <c r="I4" s="5"/>
      <c r="J4" s="5"/>
      <c r="K4" s="10">
        <v>625000.0</v>
      </c>
    </row>
    <row r="5" ht="22.5" customHeight="1">
      <c r="A5" s="1"/>
      <c r="B5" s="1"/>
      <c r="C5" s="17"/>
      <c r="D5" s="18" t="s">
        <v>5</v>
      </c>
      <c r="E5" s="19"/>
      <c r="F5" s="20" t="s">
        <v>6</v>
      </c>
      <c r="G5" s="21"/>
      <c r="H5" s="5"/>
      <c r="I5" s="5"/>
      <c r="J5" s="22" t="s">
        <v>5</v>
      </c>
      <c r="K5" s="23"/>
    </row>
    <row r="6" ht="22.5" customHeight="1">
      <c r="A6" s="1"/>
      <c r="B6" s="24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9" t="s">
        <v>12</v>
      </c>
      <c r="H6" s="30" t="s">
        <v>13</v>
      </c>
      <c r="I6" s="31"/>
      <c r="J6" s="32" t="s">
        <v>12</v>
      </c>
      <c r="K6" s="33" t="s">
        <v>11</v>
      </c>
    </row>
    <row r="7">
      <c r="A7" s="34"/>
      <c r="B7" s="35"/>
      <c r="C7" s="36">
        <v>45840.0</v>
      </c>
      <c r="D7" s="37" t="s">
        <v>14</v>
      </c>
      <c r="E7" s="38" t="s">
        <v>15</v>
      </c>
      <c r="F7" s="39"/>
      <c r="G7" s="40"/>
      <c r="H7" s="41">
        <v>1.33E7</v>
      </c>
      <c r="I7" s="42"/>
      <c r="J7" s="43" t="s">
        <v>16</v>
      </c>
      <c r="K7" s="44" t="s">
        <v>17</v>
      </c>
    </row>
    <row r="8">
      <c r="A8" s="34"/>
      <c r="B8" s="35"/>
      <c r="C8" s="36">
        <v>45840.0</v>
      </c>
      <c r="D8" s="37" t="s">
        <v>18</v>
      </c>
      <c r="E8" s="38" t="s">
        <v>19</v>
      </c>
      <c r="F8" s="39"/>
      <c r="G8" s="40"/>
      <c r="H8" s="41">
        <v>4000000.0</v>
      </c>
      <c r="I8" s="42"/>
      <c r="J8" s="43"/>
      <c r="K8" s="44" t="s">
        <v>17</v>
      </c>
    </row>
    <row r="9">
      <c r="A9" s="34"/>
      <c r="B9" s="35"/>
      <c r="C9" s="36">
        <v>45840.0</v>
      </c>
      <c r="D9" s="37" t="s">
        <v>18</v>
      </c>
      <c r="E9" s="38" t="s">
        <v>20</v>
      </c>
      <c r="F9" s="39"/>
      <c r="G9" s="40"/>
      <c r="H9" s="41">
        <v>1000000.0</v>
      </c>
      <c r="I9" s="42"/>
      <c r="J9" s="43"/>
      <c r="K9" s="44" t="s">
        <v>17</v>
      </c>
    </row>
    <row r="10">
      <c r="A10" s="34"/>
      <c r="B10" s="35"/>
      <c r="C10" s="36">
        <v>45840.0</v>
      </c>
      <c r="D10" s="37" t="s">
        <v>21</v>
      </c>
      <c r="E10" s="45" t="s">
        <v>22</v>
      </c>
      <c r="F10" s="39"/>
      <c r="G10" s="40"/>
      <c r="H10" s="41">
        <v>1.1325E7</v>
      </c>
      <c r="I10" s="42"/>
      <c r="J10" s="43"/>
      <c r="K10" s="44"/>
    </row>
    <row r="11">
      <c r="A11" s="46"/>
      <c r="B11" s="35"/>
      <c r="C11" s="36">
        <v>45839.0</v>
      </c>
      <c r="D11" s="37"/>
      <c r="E11" s="38" t="s">
        <v>23</v>
      </c>
      <c r="F11" s="39" t="s">
        <v>24</v>
      </c>
      <c r="G11" s="40" t="s">
        <v>25</v>
      </c>
      <c r="H11" s="41">
        <v>1825316.0</v>
      </c>
      <c r="I11" s="42"/>
      <c r="J11" s="43"/>
      <c r="K11" s="44"/>
    </row>
    <row r="12">
      <c r="A12" s="34"/>
      <c r="B12" s="35"/>
      <c r="C12" s="36">
        <v>45847.0</v>
      </c>
      <c r="D12" s="37"/>
      <c r="E12" s="38" t="s">
        <v>23</v>
      </c>
      <c r="F12" s="39" t="s">
        <v>24</v>
      </c>
      <c r="G12" s="40" t="s">
        <v>25</v>
      </c>
      <c r="H12" s="41">
        <v>1578328.0</v>
      </c>
      <c r="I12" s="42"/>
      <c r="J12" s="43"/>
      <c r="K12" s="44"/>
    </row>
    <row r="13">
      <c r="A13" s="34"/>
      <c r="B13" s="35"/>
      <c r="C13" s="36">
        <v>45839.0</v>
      </c>
      <c r="D13" s="37"/>
      <c r="E13" s="38" t="s">
        <v>26</v>
      </c>
      <c r="F13" s="39" t="s">
        <v>24</v>
      </c>
      <c r="G13" s="40" t="s">
        <v>27</v>
      </c>
      <c r="H13" s="41">
        <v>176500.0</v>
      </c>
      <c r="I13" s="42"/>
      <c r="J13" s="43"/>
      <c r="K13" s="44"/>
    </row>
    <row r="14">
      <c r="A14" s="34"/>
      <c r="B14" s="35"/>
      <c r="C14" s="36">
        <v>45844.0</v>
      </c>
      <c r="D14" s="37"/>
      <c r="E14" s="38" t="s">
        <v>28</v>
      </c>
      <c r="F14" s="39" t="s">
        <v>17</v>
      </c>
      <c r="G14" s="40" t="s">
        <v>29</v>
      </c>
      <c r="H14" s="41">
        <v>195000.0</v>
      </c>
      <c r="I14" s="42"/>
      <c r="J14" s="43"/>
      <c r="K14" s="44"/>
    </row>
    <row r="15">
      <c r="A15" s="46"/>
      <c r="B15" s="35"/>
      <c r="C15" s="36">
        <v>45844.0</v>
      </c>
      <c r="D15" s="37"/>
      <c r="E15" s="38" t="s">
        <v>28</v>
      </c>
      <c r="F15" s="39" t="s">
        <v>17</v>
      </c>
      <c r="G15" s="40" t="s">
        <v>29</v>
      </c>
      <c r="H15" s="41">
        <v>125000.0</v>
      </c>
      <c r="I15" s="42"/>
      <c r="J15" s="43"/>
      <c r="K15" s="44"/>
    </row>
    <row r="16">
      <c r="A16" s="46"/>
      <c r="B16" s="35"/>
      <c r="C16" s="36"/>
      <c r="D16" s="37"/>
      <c r="E16" s="45"/>
      <c r="F16" s="39"/>
      <c r="G16" s="40"/>
      <c r="H16" s="41"/>
      <c r="I16" s="42"/>
      <c r="J16" s="43"/>
      <c r="K16" s="44"/>
    </row>
    <row r="17">
      <c r="A17" s="46"/>
      <c r="B17" s="35"/>
      <c r="C17" s="36"/>
      <c r="D17" s="37"/>
      <c r="E17" s="38"/>
      <c r="F17" s="39"/>
      <c r="G17" s="40"/>
      <c r="H17" s="41"/>
      <c r="I17" s="42"/>
      <c r="J17" s="43"/>
      <c r="K17" s="44"/>
    </row>
    <row r="18">
      <c r="A18" s="46"/>
      <c r="B18" s="35"/>
      <c r="C18" s="36"/>
      <c r="D18" s="37"/>
      <c r="E18" s="38"/>
      <c r="F18" s="39"/>
      <c r="G18" s="40"/>
      <c r="H18" s="41"/>
      <c r="I18" s="42"/>
      <c r="J18" s="43"/>
      <c r="K18" s="44"/>
    </row>
    <row r="19">
      <c r="A19" s="46"/>
      <c r="B19" s="35"/>
      <c r="C19" s="36"/>
      <c r="D19" s="37"/>
      <c r="E19" s="38"/>
      <c r="F19" s="39"/>
      <c r="G19" s="40"/>
      <c r="H19" s="41"/>
      <c r="I19" s="42"/>
      <c r="J19" s="43"/>
      <c r="K19" s="44"/>
    </row>
    <row r="20">
      <c r="A20" s="46"/>
      <c r="B20" s="35"/>
      <c r="C20" s="36"/>
      <c r="D20" s="37"/>
      <c r="E20" s="38"/>
      <c r="F20" s="39"/>
      <c r="G20" s="40"/>
      <c r="H20" s="41"/>
      <c r="I20" s="42"/>
      <c r="J20" s="43"/>
      <c r="K20" s="44"/>
    </row>
    <row r="21">
      <c r="A21" s="46"/>
      <c r="B21" s="35"/>
      <c r="C21" s="36"/>
      <c r="D21" s="37"/>
      <c r="E21" s="38"/>
      <c r="F21" s="39"/>
      <c r="G21" s="40"/>
      <c r="H21" s="47"/>
      <c r="I21" s="42"/>
      <c r="J21" s="43"/>
      <c r="K21" s="44"/>
    </row>
    <row r="22">
      <c r="A22" s="46"/>
      <c r="B22" s="35"/>
      <c r="C22" s="36"/>
      <c r="D22" s="37"/>
      <c r="E22" s="38"/>
      <c r="F22" s="39"/>
      <c r="G22" s="40"/>
      <c r="H22" s="41"/>
      <c r="I22" s="42"/>
      <c r="J22" s="43"/>
      <c r="K22" s="44"/>
    </row>
    <row r="23">
      <c r="A23" s="46"/>
      <c r="B23" s="35"/>
      <c r="C23" s="36"/>
      <c r="D23" s="37"/>
      <c r="E23" s="38"/>
      <c r="F23" s="48"/>
      <c r="G23" s="40"/>
      <c r="H23" s="41"/>
      <c r="I23" s="42"/>
      <c r="J23" s="43"/>
      <c r="K23" s="44"/>
    </row>
    <row r="24">
      <c r="A24" s="46"/>
      <c r="B24" s="35"/>
      <c r="C24" s="36"/>
      <c r="D24" s="37"/>
      <c r="E24" s="38"/>
      <c r="F24" s="39"/>
      <c r="G24" s="40"/>
      <c r="H24" s="41"/>
      <c r="I24" s="42"/>
      <c r="J24" s="43"/>
      <c r="K24" s="44"/>
    </row>
    <row r="25">
      <c r="A25" s="46"/>
      <c r="B25" s="35"/>
      <c r="C25" s="36"/>
      <c r="D25" s="37"/>
      <c r="E25" s="45"/>
      <c r="F25" s="39"/>
      <c r="G25" s="40"/>
      <c r="H25" s="49"/>
      <c r="I25" s="50"/>
      <c r="J25" s="43"/>
      <c r="K25" s="44"/>
    </row>
    <row r="26">
      <c r="A26" s="46"/>
      <c r="B26" s="35"/>
      <c r="C26" s="36"/>
      <c r="D26" s="37"/>
      <c r="E26" s="38"/>
      <c r="F26" s="39"/>
      <c r="G26" s="40"/>
      <c r="H26" s="41"/>
      <c r="I26" s="50"/>
      <c r="J26" s="43"/>
      <c r="K26" s="44"/>
    </row>
    <row r="27">
      <c r="A27" s="46"/>
      <c r="B27" s="35"/>
      <c r="C27" s="36"/>
      <c r="D27" s="37"/>
      <c r="E27" s="38"/>
      <c r="F27" s="48"/>
      <c r="G27" s="40"/>
      <c r="H27" s="41"/>
      <c r="I27" s="50"/>
      <c r="J27" s="43"/>
      <c r="K27" s="48"/>
    </row>
    <row r="28">
      <c r="A28" s="46"/>
      <c r="B28" s="35"/>
      <c r="C28" s="36"/>
      <c r="D28" s="37"/>
      <c r="E28" s="38"/>
      <c r="F28" s="39"/>
      <c r="G28" s="40"/>
      <c r="H28" s="41"/>
      <c r="I28" s="50"/>
      <c r="J28" s="43"/>
      <c r="K28" s="44"/>
    </row>
    <row r="29">
      <c r="A29" s="46"/>
      <c r="B29" s="35"/>
      <c r="C29" s="36"/>
      <c r="D29" s="37"/>
      <c r="E29" s="38"/>
      <c r="F29" s="39"/>
      <c r="G29" s="40"/>
      <c r="H29" s="41"/>
      <c r="I29" s="50"/>
      <c r="J29" s="43"/>
      <c r="K29" s="44"/>
    </row>
    <row r="30">
      <c r="A30" s="46"/>
      <c r="B30" s="35"/>
      <c r="C30" s="36"/>
      <c r="D30" s="37"/>
      <c r="E30" s="38"/>
      <c r="F30" s="48"/>
      <c r="G30" s="40"/>
      <c r="H30" s="41"/>
      <c r="I30" s="50"/>
      <c r="J30" s="43"/>
      <c r="K30" s="44"/>
    </row>
    <row r="31">
      <c r="A31" s="46"/>
      <c r="B31" s="35"/>
      <c r="C31" s="36"/>
      <c r="D31" s="37"/>
      <c r="E31" s="38"/>
      <c r="F31" s="39"/>
      <c r="G31" s="40"/>
      <c r="H31" s="49"/>
      <c r="I31" s="50"/>
      <c r="J31" s="43"/>
      <c r="K31" s="44"/>
    </row>
    <row r="32">
      <c r="A32" s="46"/>
      <c r="B32" s="35"/>
      <c r="C32" s="36"/>
      <c r="D32" s="37"/>
      <c r="E32" s="45"/>
      <c r="F32" s="39"/>
      <c r="G32" s="40"/>
      <c r="H32" s="49"/>
      <c r="I32" s="50"/>
      <c r="J32" s="43"/>
      <c r="K32" s="44"/>
    </row>
    <row r="33">
      <c r="A33" s="46"/>
      <c r="B33" s="35"/>
      <c r="C33" s="36"/>
      <c r="D33" s="37"/>
      <c r="E33" s="45"/>
      <c r="F33" s="39"/>
      <c r="G33" s="40"/>
      <c r="H33" s="49"/>
      <c r="I33" s="50"/>
      <c r="J33" s="43"/>
      <c r="K33" s="44"/>
    </row>
    <row r="34">
      <c r="A34" s="46"/>
      <c r="B34" s="35"/>
      <c r="C34" s="36"/>
      <c r="D34" s="37"/>
      <c r="E34" s="38"/>
      <c r="F34" s="39"/>
      <c r="G34" s="40"/>
      <c r="H34" s="41"/>
      <c r="I34" s="42"/>
      <c r="J34" s="43"/>
      <c r="K34" s="44"/>
    </row>
    <row r="35">
      <c r="A35" s="46"/>
      <c r="B35" s="35"/>
      <c r="C35" s="36"/>
      <c r="D35" s="37"/>
      <c r="E35" s="38"/>
      <c r="F35" s="48"/>
      <c r="G35" s="40"/>
      <c r="H35" s="41"/>
      <c r="I35" s="50"/>
      <c r="J35" s="43"/>
      <c r="K35" s="48"/>
    </row>
    <row r="36">
      <c r="A36" s="46"/>
      <c r="B36" s="35"/>
      <c r="C36" s="36"/>
      <c r="D36" s="37"/>
      <c r="E36" s="38"/>
      <c r="F36" s="48"/>
      <c r="G36" s="40"/>
      <c r="H36" s="41"/>
      <c r="I36" s="42"/>
      <c r="J36" s="43"/>
      <c r="K36" s="44"/>
    </row>
    <row r="37">
      <c r="A37" s="46"/>
      <c r="B37" s="35"/>
      <c r="C37" s="36"/>
      <c r="D37" s="37"/>
      <c r="E37" s="45"/>
      <c r="F37" s="39"/>
      <c r="G37" s="40"/>
      <c r="H37" s="41"/>
      <c r="I37" s="42"/>
      <c r="J37" s="43"/>
      <c r="K37" s="44"/>
    </row>
    <row r="38">
      <c r="A38" s="46"/>
      <c r="B38" s="35"/>
      <c r="C38" s="36"/>
      <c r="D38" s="37"/>
      <c r="E38" s="38"/>
      <c r="F38" s="39"/>
      <c r="G38" s="40"/>
      <c r="H38" s="41"/>
      <c r="I38" s="42"/>
      <c r="J38" s="43"/>
      <c r="K38" s="44"/>
    </row>
    <row r="39">
      <c r="A39" s="46"/>
      <c r="B39" s="35"/>
      <c r="C39" s="36"/>
      <c r="D39" s="37"/>
      <c r="E39" s="45"/>
      <c r="F39" s="39"/>
      <c r="G39" s="40"/>
      <c r="H39" s="49"/>
      <c r="I39" s="42"/>
      <c r="J39" s="43"/>
      <c r="K39" s="44"/>
    </row>
    <row r="40">
      <c r="A40" s="46"/>
      <c r="B40" s="35"/>
      <c r="C40" s="36"/>
      <c r="D40" s="37"/>
      <c r="E40" s="45"/>
      <c r="F40" s="39"/>
      <c r="G40" s="40"/>
      <c r="H40" s="41"/>
      <c r="I40" s="42"/>
      <c r="J40" s="43"/>
      <c r="K40" s="44"/>
    </row>
    <row r="41">
      <c r="A41" s="46"/>
      <c r="B41" s="35"/>
      <c r="C41" s="36"/>
      <c r="D41" s="37"/>
      <c r="E41" s="38"/>
      <c r="F41" s="39"/>
      <c r="G41" s="40"/>
      <c r="H41" s="41"/>
      <c r="I41" s="42"/>
      <c r="J41" s="43"/>
      <c r="K41" s="44"/>
    </row>
    <row r="42">
      <c r="A42" s="46"/>
      <c r="B42" s="35"/>
      <c r="C42" s="36"/>
      <c r="D42" s="37"/>
      <c r="E42" s="38"/>
      <c r="F42" s="39"/>
      <c r="G42" s="40"/>
      <c r="H42" s="41"/>
      <c r="I42" s="42"/>
      <c r="J42" s="43"/>
      <c r="K42" s="44"/>
    </row>
    <row r="43">
      <c r="A43" s="46"/>
      <c r="B43" s="35"/>
      <c r="C43" s="36"/>
      <c r="D43" s="37"/>
      <c r="E43" s="45"/>
      <c r="F43" s="39"/>
      <c r="G43" s="40"/>
      <c r="H43" s="49"/>
      <c r="I43" s="50"/>
      <c r="J43" s="43"/>
      <c r="K43" s="48"/>
    </row>
    <row r="44">
      <c r="A44" s="46"/>
      <c r="B44" s="35"/>
      <c r="C44" s="36"/>
      <c r="D44" s="37"/>
      <c r="E44" s="45"/>
      <c r="F44" s="39"/>
      <c r="G44" s="40"/>
      <c r="H44" s="49"/>
      <c r="I44" s="50"/>
      <c r="J44" s="43"/>
      <c r="K44" s="48"/>
    </row>
    <row r="45">
      <c r="A45" s="46"/>
      <c r="B45" s="35"/>
      <c r="C45" s="36"/>
      <c r="D45" s="37"/>
      <c r="E45" s="45"/>
      <c r="F45" s="39"/>
      <c r="G45" s="40"/>
      <c r="H45" s="49"/>
      <c r="I45" s="50"/>
      <c r="J45" s="43"/>
      <c r="K45" s="48"/>
    </row>
    <row r="46">
      <c r="A46" s="46"/>
      <c r="B46" s="35"/>
      <c r="C46" s="36"/>
      <c r="D46" s="37"/>
      <c r="E46" s="38"/>
      <c r="F46" s="39"/>
      <c r="G46" s="40"/>
      <c r="H46" s="41"/>
      <c r="I46" s="42"/>
      <c r="J46" s="43"/>
      <c r="K46" s="44"/>
    </row>
    <row r="47">
      <c r="A47" s="46"/>
      <c r="B47" s="35"/>
      <c r="C47" s="36"/>
      <c r="D47" s="37"/>
      <c r="E47" s="45"/>
      <c r="F47" s="39"/>
      <c r="G47" s="40"/>
      <c r="H47" s="41"/>
      <c r="I47" s="42"/>
      <c r="J47" s="43"/>
      <c r="K47" s="48"/>
    </row>
    <row r="48">
      <c r="A48" s="46"/>
      <c r="B48" s="35"/>
      <c r="C48" s="36"/>
      <c r="D48" s="37"/>
      <c r="E48" s="38"/>
      <c r="F48" s="39"/>
      <c r="G48" s="40"/>
      <c r="H48" s="41"/>
      <c r="I48" s="42"/>
      <c r="J48" s="43"/>
      <c r="K48" s="44"/>
    </row>
    <row r="49">
      <c r="A49" s="51"/>
      <c r="B49" s="35"/>
      <c r="C49" s="52"/>
      <c r="D49" s="37"/>
      <c r="E49" s="53"/>
      <c r="F49" s="48"/>
      <c r="G49" s="40"/>
      <c r="H49" s="54"/>
      <c r="I49" s="55"/>
      <c r="J49" s="56"/>
      <c r="K49" s="57"/>
    </row>
    <row r="50">
      <c r="A50" s="46"/>
      <c r="B50" s="35"/>
      <c r="C50" s="36"/>
      <c r="D50" s="37"/>
      <c r="E50" s="38"/>
      <c r="F50" s="48"/>
      <c r="G50" s="40"/>
      <c r="H50" s="41"/>
      <c r="I50" s="42"/>
      <c r="J50" s="43"/>
      <c r="K50" s="48"/>
    </row>
    <row r="51">
      <c r="A51" s="46"/>
      <c r="B51" s="35"/>
      <c r="C51" s="36"/>
      <c r="D51" s="37"/>
      <c r="E51" s="45"/>
      <c r="F51" s="39"/>
      <c r="G51" s="40"/>
      <c r="H51" s="49"/>
      <c r="I51" s="50"/>
      <c r="J51" s="43"/>
      <c r="K51" s="44"/>
    </row>
    <row r="52">
      <c r="A52" s="46"/>
      <c r="B52" s="35"/>
      <c r="C52" s="36"/>
      <c r="D52" s="37"/>
      <c r="E52" s="38"/>
      <c r="F52" s="39"/>
      <c r="G52" s="40"/>
      <c r="H52" s="41"/>
      <c r="I52" s="42"/>
      <c r="J52" s="43"/>
      <c r="K52" s="44"/>
    </row>
    <row r="53">
      <c r="A53" s="46"/>
      <c r="B53" s="35"/>
      <c r="C53" s="36"/>
      <c r="D53" s="37"/>
      <c r="E53" s="38"/>
      <c r="F53" s="39"/>
      <c r="G53" s="40"/>
      <c r="H53" s="41"/>
      <c r="I53" s="42"/>
      <c r="J53" s="43"/>
      <c r="K53" s="44"/>
    </row>
    <row r="54">
      <c r="A54" s="46"/>
      <c r="B54" s="35"/>
      <c r="C54" s="36"/>
      <c r="D54" s="37"/>
      <c r="E54" s="38"/>
      <c r="F54" s="48"/>
      <c r="G54" s="40"/>
      <c r="H54" s="41"/>
      <c r="I54" s="42"/>
      <c r="J54" s="43"/>
      <c r="K54" s="44"/>
    </row>
    <row r="55">
      <c r="A55" s="46"/>
      <c r="B55" s="35"/>
      <c r="C55" s="36"/>
      <c r="D55" s="37"/>
      <c r="E55" s="38"/>
      <c r="F55" s="39"/>
      <c r="G55" s="40"/>
      <c r="H55" s="41"/>
      <c r="I55" s="42"/>
      <c r="J55" s="43"/>
      <c r="K55" s="44"/>
    </row>
    <row r="56">
      <c r="A56" s="46"/>
      <c r="B56" s="35"/>
      <c r="C56" s="36"/>
      <c r="D56" s="37"/>
      <c r="E56" s="38"/>
      <c r="F56" s="39"/>
      <c r="G56" s="40"/>
      <c r="H56" s="41"/>
      <c r="I56" s="42"/>
      <c r="J56" s="43"/>
      <c r="K56" s="44"/>
    </row>
    <row r="57">
      <c r="A57" s="46"/>
      <c r="B57" s="35"/>
      <c r="C57" s="36"/>
      <c r="D57" s="37"/>
      <c r="E57" s="38"/>
      <c r="F57" s="39"/>
      <c r="G57" s="40"/>
      <c r="H57" s="41"/>
      <c r="I57" s="42"/>
      <c r="J57" s="43"/>
      <c r="K57" s="44"/>
    </row>
    <row r="58">
      <c r="A58" s="46"/>
      <c r="B58" s="35"/>
      <c r="C58" s="36"/>
      <c r="D58" s="37"/>
      <c r="E58" s="38"/>
      <c r="F58" s="39"/>
      <c r="G58" s="40"/>
      <c r="H58" s="41"/>
      <c r="I58" s="42"/>
      <c r="J58" s="43"/>
      <c r="K58" s="44"/>
    </row>
    <row r="59">
      <c r="A59" s="46"/>
      <c r="B59" s="35"/>
      <c r="C59" s="36"/>
      <c r="D59" s="37"/>
      <c r="E59" s="38"/>
      <c r="F59" s="39"/>
      <c r="G59" s="40"/>
      <c r="H59" s="41"/>
      <c r="I59" s="42"/>
      <c r="J59" s="43"/>
      <c r="K59" s="44"/>
    </row>
    <row r="60">
      <c r="A60" s="46"/>
      <c r="B60" s="35"/>
      <c r="C60" s="36"/>
      <c r="D60" s="37"/>
      <c r="E60" s="38"/>
      <c r="F60" s="39"/>
      <c r="G60" s="40"/>
      <c r="H60" s="41"/>
      <c r="I60" s="42"/>
      <c r="J60" s="43"/>
      <c r="K60" s="44"/>
    </row>
    <row r="61">
      <c r="A61" s="46"/>
      <c r="B61" s="35"/>
      <c r="C61" s="36"/>
      <c r="D61" s="37"/>
      <c r="E61" s="38"/>
      <c r="F61" s="39"/>
      <c r="G61" s="40"/>
      <c r="H61" s="41"/>
      <c r="I61" s="42"/>
      <c r="J61" s="43"/>
      <c r="K61" s="44"/>
    </row>
    <row r="62">
      <c r="A62" s="46"/>
      <c r="B62" s="35"/>
      <c r="C62" s="36"/>
      <c r="D62" s="37"/>
      <c r="E62" s="38"/>
      <c r="F62" s="39"/>
      <c r="G62" s="40"/>
      <c r="H62" s="41"/>
      <c r="I62" s="42"/>
      <c r="J62" s="43"/>
      <c r="K62" s="44"/>
    </row>
    <row r="63">
      <c r="A63" s="11"/>
      <c r="B63" s="58"/>
      <c r="C63" s="59"/>
      <c r="D63" s="60"/>
      <c r="E63" s="61"/>
      <c r="F63" s="62"/>
      <c r="G63" s="63"/>
      <c r="H63" s="41"/>
      <c r="I63" s="42"/>
      <c r="J63" s="63"/>
      <c r="K63" s="64"/>
    </row>
    <row r="64">
      <c r="A64" s="46"/>
      <c r="B64" s="35"/>
      <c r="C64" s="36"/>
      <c r="D64" s="37"/>
      <c r="E64" s="45"/>
      <c r="F64" s="39"/>
      <c r="G64" s="40"/>
      <c r="H64" s="49"/>
      <c r="I64" s="50"/>
      <c r="J64" s="43"/>
      <c r="K64" s="48"/>
    </row>
    <row r="65">
      <c r="A65" s="46"/>
      <c r="B65" s="35"/>
      <c r="C65" s="36"/>
      <c r="D65" s="37"/>
      <c r="E65" s="38"/>
      <c r="F65" s="48"/>
      <c r="G65" s="40"/>
      <c r="H65" s="41"/>
      <c r="I65" s="42"/>
      <c r="J65" s="43"/>
      <c r="K65" s="48"/>
    </row>
    <row r="66">
      <c r="A66" s="46"/>
      <c r="B66" s="35"/>
      <c r="C66" s="36"/>
      <c r="D66" s="37"/>
      <c r="E66" s="45"/>
      <c r="F66" s="39"/>
      <c r="G66" s="40"/>
      <c r="H66" s="41"/>
      <c r="I66" s="42"/>
      <c r="J66" s="43"/>
      <c r="K66" s="44"/>
    </row>
    <row r="67">
      <c r="A67" s="46"/>
      <c r="B67" s="35"/>
      <c r="C67" s="36"/>
      <c r="D67" s="37"/>
      <c r="E67" s="65"/>
      <c r="F67" s="66"/>
      <c r="G67" s="40"/>
      <c r="H67" s="41"/>
      <c r="I67" s="42"/>
      <c r="J67" s="43"/>
      <c r="K67" s="66"/>
    </row>
    <row r="68">
      <c r="A68" s="46"/>
      <c r="B68" s="35"/>
      <c r="C68" s="36"/>
      <c r="D68" s="37"/>
      <c r="E68" s="67"/>
      <c r="F68" s="68"/>
      <c r="G68" s="40"/>
      <c r="H68" s="49"/>
      <c r="I68" s="50"/>
      <c r="J68" s="43"/>
      <c r="K68" s="66"/>
    </row>
    <row r="69">
      <c r="A69" s="46"/>
      <c r="B69" s="35"/>
      <c r="C69" s="36"/>
      <c r="D69" s="37"/>
      <c r="E69" s="45"/>
      <c r="F69" s="39"/>
      <c r="G69" s="40"/>
      <c r="H69" s="49"/>
      <c r="I69" s="50"/>
      <c r="J69" s="43"/>
      <c r="K69" s="48"/>
    </row>
    <row r="70">
      <c r="A70" s="46"/>
      <c r="B70" s="35"/>
      <c r="C70" s="36"/>
      <c r="D70" s="37"/>
      <c r="E70" s="38"/>
      <c r="F70" s="39"/>
      <c r="G70" s="40"/>
      <c r="H70" s="41"/>
      <c r="I70" s="42"/>
      <c r="J70" s="43"/>
      <c r="K70" s="44"/>
    </row>
    <row r="71">
      <c r="A71" s="46"/>
      <c r="B71" s="35"/>
      <c r="C71" s="36"/>
      <c r="D71" s="37"/>
      <c r="E71" s="45"/>
      <c r="F71" s="39"/>
      <c r="G71" s="40"/>
      <c r="H71" s="49"/>
      <c r="I71" s="50"/>
      <c r="J71" s="43"/>
      <c r="K71" s="48"/>
    </row>
    <row r="72">
      <c r="A72" s="46"/>
      <c r="B72" s="35"/>
      <c r="C72" s="36"/>
      <c r="D72" s="37"/>
      <c r="E72" s="38"/>
      <c r="F72" s="48"/>
      <c r="G72" s="40"/>
      <c r="H72" s="41"/>
      <c r="I72" s="42"/>
      <c r="J72" s="43"/>
      <c r="K72" s="48"/>
    </row>
    <row r="73">
      <c r="A73" s="46"/>
      <c r="B73" s="35"/>
      <c r="C73" s="36"/>
      <c r="D73" s="37"/>
      <c r="E73" s="45"/>
      <c r="F73" s="39"/>
      <c r="G73" s="40"/>
      <c r="H73" s="49"/>
      <c r="I73" s="50"/>
      <c r="J73" s="43"/>
      <c r="K73" s="48"/>
    </row>
    <row r="74">
      <c r="A74" s="46"/>
      <c r="B74" s="35"/>
      <c r="C74" s="36"/>
      <c r="D74" s="37"/>
      <c r="E74" s="38"/>
      <c r="F74" s="48"/>
      <c r="G74" s="40"/>
      <c r="H74" s="41"/>
      <c r="I74" s="42"/>
      <c r="J74" s="43"/>
      <c r="K74" s="48"/>
    </row>
    <row r="75">
      <c r="A75" s="46"/>
      <c r="B75" s="35"/>
      <c r="C75" s="36"/>
      <c r="D75" s="37"/>
      <c r="E75" s="45"/>
      <c r="F75" s="39"/>
      <c r="G75" s="40"/>
      <c r="H75" s="41"/>
      <c r="I75" s="42"/>
      <c r="J75" s="43"/>
      <c r="K75" s="44"/>
    </row>
    <row r="76">
      <c r="A76" s="46"/>
      <c r="B76" s="35"/>
      <c r="C76" s="36"/>
      <c r="D76" s="37"/>
      <c r="E76" s="38"/>
      <c r="F76" s="48"/>
      <c r="G76" s="40"/>
      <c r="H76" s="41"/>
      <c r="I76" s="42"/>
      <c r="J76" s="43"/>
      <c r="K76" s="48"/>
    </row>
    <row r="77">
      <c r="A77" s="46"/>
      <c r="B77" s="35"/>
      <c r="C77" s="36"/>
      <c r="D77" s="37"/>
      <c r="E77" s="38"/>
      <c r="F77" s="48"/>
      <c r="G77" s="40"/>
      <c r="H77" s="41"/>
      <c r="I77" s="42"/>
      <c r="J77" s="43"/>
      <c r="K77" s="48"/>
    </row>
    <row r="78">
      <c r="A78" s="46"/>
      <c r="B78" s="35"/>
      <c r="C78" s="36"/>
      <c r="D78" s="37"/>
      <c r="E78" s="45"/>
      <c r="F78" s="39"/>
      <c r="G78" s="40"/>
      <c r="H78" s="41"/>
      <c r="I78" s="42"/>
      <c r="J78" s="43"/>
      <c r="K78" s="44"/>
    </row>
    <row r="79">
      <c r="A79" s="34"/>
      <c r="B79" s="35"/>
      <c r="C79" s="36"/>
      <c r="D79" s="37"/>
      <c r="E79" s="45"/>
      <c r="F79" s="39"/>
      <c r="G79" s="40"/>
      <c r="H79" s="49"/>
      <c r="I79" s="50"/>
      <c r="J79" s="43"/>
      <c r="K79" s="48"/>
    </row>
    <row r="80">
      <c r="A80" s="46"/>
      <c r="B80" s="35"/>
      <c r="C80" s="36"/>
      <c r="D80" s="37"/>
      <c r="E80" s="45"/>
      <c r="F80" s="39"/>
      <c r="G80" s="40"/>
      <c r="H80" s="49"/>
      <c r="I80" s="50"/>
      <c r="J80" s="43"/>
      <c r="K80" s="48"/>
    </row>
    <row r="81">
      <c r="A81" s="46"/>
      <c r="B81" s="35"/>
      <c r="C81" s="36"/>
      <c r="D81" s="37"/>
      <c r="E81" s="45"/>
      <c r="F81" s="39"/>
      <c r="G81" s="40"/>
      <c r="H81" s="41"/>
      <c r="I81" s="42"/>
      <c r="J81" s="43"/>
      <c r="K81" s="44"/>
    </row>
    <row r="82">
      <c r="A82" s="46"/>
      <c r="B82" s="35"/>
      <c r="C82" s="36"/>
      <c r="D82" s="37"/>
      <c r="E82" s="45"/>
      <c r="F82" s="39"/>
      <c r="G82" s="40"/>
      <c r="H82" s="41"/>
      <c r="I82" s="42"/>
      <c r="J82" s="43"/>
      <c r="K82" s="69"/>
    </row>
    <row r="83">
      <c r="A83" s="46"/>
      <c r="B83" s="35"/>
      <c r="C83" s="36"/>
      <c r="D83" s="37"/>
      <c r="E83" s="45"/>
      <c r="F83" s="48"/>
      <c r="G83" s="40"/>
      <c r="H83" s="41"/>
      <c r="I83" s="42"/>
      <c r="J83" s="43"/>
      <c r="K83" s="48"/>
    </row>
    <row r="84">
      <c r="A84" s="46"/>
      <c r="B84" s="35"/>
      <c r="C84" s="36"/>
      <c r="D84" s="37"/>
      <c r="E84" s="45"/>
      <c r="F84" s="48"/>
      <c r="G84" s="40"/>
      <c r="H84" s="41"/>
      <c r="I84" s="42"/>
      <c r="J84" s="43"/>
      <c r="K84" s="48"/>
    </row>
    <row r="85">
      <c r="A85" s="46"/>
      <c r="B85" s="35"/>
      <c r="C85" s="36"/>
      <c r="D85" s="37"/>
      <c r="E85" s="45"/>
      <c r="F85" s="39"/>
      <c r="G85" s="40"/>
      <c r="H85" s="41"/>
      <c r="I85" s="42"/>
      <c r="J85" s="43"/>
      <c r="K85" s="44"/>
    </row>
    <row r="86">
      <c r="A86" s="46"/>
      <c r="B86" s="35"/>
      <c r="C86" s="36"/>
      <c r="D86" s="37"/>
      <c r="E86" s="45"/>
      <c r="F86" s="39"/>
      <c r="G86" s="40"/>
      <c r="H86" s="41"/>
      <c r="I86" s="42"/>
      <c r="J86" s="43"/>
      <c r="K86" s="44"/>
    </row>
    <row r="87">
      <c r="A87" s="46"/>
      <c r="B87" s="35"/>
      <c r="C87" s="36"/>
      <c r="D87" s="37"/>
      <c r="E87" s="38"/>
      <c r="F87" s="48"/>
      <c r="G87" s="40"/>
      <c r="H87" s="41"/>
      <c r="I87" s="42"/>
      <c r="J87" s="43"/>
      <c r="K87" s="48"/>
    </row>
    <row r="88">
      <c r="A88" s="46"/>
      <c r="B88" s="35"/>
      <c r="C88" s="36"/>
      <c r="D88" s="37"/>
      <c r="E88" s="45"/>
      <c r="F88" s="39"/>
      <c r="G88" s="40"/>
      <c r="H88" s="49"/>
      <c r="I88" s="50"/>
      <c r="J88" s="43"/>
      <c r="K88" s="48"/>
    </row>
    <row r="89">
      <c r="A89" s="46"/>
      <c r="B89" s="35"/>
      <c r="C89" s="36"/>
      <c r="D89" s="37"/>
      <c r="E89" s="45"/>
      <c r="F89" s="39"/>
      <c r="G89" s="40"/>
      <c r="H89" s="41"/>
      <c r="I89" s="42"/>
      <c r="J89" s="43"/>
      <c r="K89" s="44"/>
    </row>
    <row r="90">
      <c r="A90" s="46"/>
      <c r="B90" s="35"/>
      <c r="C90" s="36"/>
      <c r="D90" s="37"/>
      <c r="E90" s="45"/>
      <c r="F90" s="39"/>
      <c r="G90" s="40"/>
      <c r="H90" s="41"/>
      <c r="I90" s="42"/>
      <c r="J90" s="43"/>
      <c r="K90" s="44"/>
    </row>
    <row r="91">
      <c r="A91" s="46"/>
      <c r="B91" s="35"/>
      <c r="C91" s="36"/>
      <c r="D91" s="37"/>
      <c r="E91" s="45"/>
      <c r="F91" s="39"/>
      <c r="G91" s="40"/>
      <c r="H91" s="70"/>
      <c r="I91" s="42"/>
      <c r="J91" s="43"/>
      <c r="K91" s="69"/>
    </row>
    <row r="92">
      <c r="A92" s="46"/>
      <c r="B92" s="35"/>
      <c r="C92" s="36"/>
      <c r="D92" s="37"/>
      <c r="E92" s="45"/>
      <c r="F92" s="39"/>
      <c r="G92" s="40"/>
      <c r="H92" s="41"/>
      <c r="I92" s="42"/>
      <c r="J92" s="43"/>
      <c r="K92" s="44"/>
    </row>
    <row r="93">
      <c r="A93" s="46"/>
      <c r="B93" s="35"/>
      <c r="C93" s="36"/>
      <c r="D93" s="37"/>
      <c r="E93" s="45"/>
      <c r="F93" s="39"/>
      <c r="G93" s="40"/>
      <c r="H93" s="49"/>
      <c r="I93" s="50"/>
      <c r="J93" s="43"/>
      <c r="K93" s="48"/>
    </row>
    <row r="94">
      <c r="A94" s="46"/>
      <c r="B94" s="35"/>
      <c r="C94" s="36"/>
      <c r="D94" s="37"/>
      <c r="E94" s="45"/>
      <c r="F94" s="39"/>
      <c r="G94" s="40"/>
      <c r="H94" s="41"/>
      <c r="I94" s="42"/>
      <c r="J94" s="43"/>
      <c r="K94" s="44"/>
    </row>
    <row r="95">
      <c r="A95" s="46"/>
      <c r="B95" s="35"/>
      <c r="C95" s="36"/>
      <c r="D95" s="37"/>
      <c r="E95" s="45"/>
      <c r="F95" s="39"/>
      <c r="G95" s="40"/>
      <c r="H95" s="41"/>
      <c r="I95" s="42"/>
      <c r="J95" s="43"/>
      <c r="K95" s="44"/>
    </row>
    <row r="96">
      <c r="A96" s="46"/>
      <c r="B96" s="35"/>
      <c r="C96" s="36"/>
      <c r="D96" s="37"/>
      <c r="E96" s="45"/>
      <c r="F96" s="39"/>
      <c r="G96" s="40"/>
      <c r="H96" s="41"/>
      <c r="I96" s="42"/>
      <c r="J96" s="43"/>
      <c r="K96" s="44"/>
    </row>
    <row r="97">
      <c r="A97" s="46"/>
      <c r="B97" s="35"/>
      <c r="C97" s="36"/>
      <c r="D97" s="37"/>
      <c r="E97" s="45"/>
      <c r="F97" s="39"/>
      <c r="G97" s="40"/>
      <c r="H97" s="41"/>
      <c r="I97" s="42"/>
      <c r="J97" s="43"/>
      <c r="K97" s="44"/>
    </row>
    <row r="98">
      <c r="A98" s="46"/>
      <c r="B98" s="35"/>
      <c r="C98" s="36"/>
      <c r="D98" s="37"/>
      <c r="E98" s="45"/>
      <c r="F98" s="39"/>
      <c r="G98" s="40"/>
      <c r="H98" s="41"/>
      <c r="I98" s="42"/>
      <c r="J98" s="43"/>
      <c r="K98" s="44"/>
    </row>
    <row r="99">
      <c r="A99" s="46"/>
      <c r="B99" s="35"/>
      <c r="C99" s="36"/>
      <c r="D99" s="37"/>
      <c r="E99" s="45"/>
      <c r="F99" s="39"/>
      <c r="G99" s="40"/>
      <c r="H99" s="41"/>
      <c r="I99" s="42"/>
      <c r="J99" s="43"/>
      <c r="K99" s="44"/>
    </row>
    <row r="100">
      <c r="A100" s="46"/>
      <c r="B100" s="35"/>
      <c r="C100" s="36"/>
      <c r="D100" s="37"/>
      <c r="E100" s="45"/>
      <c r="F100" s="39"/>
      <c r="G100" s="40"/>
      <c r="H100" s="41"/>
      <c r="I100" s="42"/>
      <c r="J100" s="43"/>
      <c r="K100" s="44"/>
    </row>
    <row r="101">
      <c r="A101" s="46"/>
      <c r="B101" s="35"/>
      <c r="C101" s="36"/>
      <c r="D101" s="37"/>
      <c r="E101" s="38"/>
      <c r="F101" s="48"/>
      <c r="G101" s="40"/>
      <c r="H101" s="41"/>
      <c r="I101" s="42"/>
      <c r="J101" s="43"/>
      <c r="K101" s="48"/>
    </row>
    <row r="102">
      <c r="A102" s="46"/>
      <c r="B102" s="35"/>
      <c r="C102" s="36"/>
      <c r="D102" s="37"/>
      <c r="E102" s="38"/>
      <c r="F102" s="48"/>
      <c r="G102" s="40"/>
      <c r="H102" s="41"/>
      <c r="I102" s="42"/>
      <c r="J102" s="43"/>
      <c r="K102" s="48"/>
    </row>
    <row r="103">
      <c r="A103" s="46"/>
      <c r="B103" s="35"/>
      <c r="C103" s="36"/>
      <c r="D103" s="37"/>
      <c r="E103" s="45"/>
      <c r="F103" s="39"/>
      <c r="G103" s="40"/>
      <c r="H103" s="41"/>
      <c r="I103" s="42"/>
      <c r="J103" s="43"/>
      <c r="K103" s="44"/>
    </row>
    <row r="104">
      <c r="A104" s="46"/>
      <c r="B104" s="35"/>
      <c r="C104" s="36"/>
      <c r="D104" s="37"/>
      <c r="E104" s="67"/>
      <c r="F104" s="68"/>
      <c r="G104" s="40"/>
      <c r="H104" s="41"/>
      <c r="I104" s="42"/>
      <c r="J104" s="43"/>
      <c r="K104" s="44"/>
    </row>
    <row r="105">
      <c r="A105" s="46"/>
      <c r="B105" s="35"/>
      <c r="C105" s="36"/>
      <c r="D105" s="37"/>
      <c r="E105" s="38"/>
      <c r="F105" s="48"/>
      <c r="G105" s="40"/>
      <c r="H105" s="41"/>
      <c r="I105" s="42"/>
      <c r="J105" s="43"/>
      <c r="K105" s="48"/>
    </row>
    <row r="106">
      <c r="A106" s="46"/>
      <c r="B106" s="35"/>
      <c r="C106" s="36"/>
      <c r="D106" s="37"/>
      <c r="E106" s="38"/>
      <c r="F106" s="48"/>
      <c r="G106" s="40"/>
      <c r="H106" s="41"/>
      <c r="I106" s="42"/>
      <c r="J106" s="43"/>
      <c r="K106" s="48"/>
    </row>
    <row r="107">
      <c r="A107" s="46"/>
      <c r="B107" s="35"/>
      <c r="C107" s="36"/>
      <c r="D107" s="37"/>
      <c r="E107" s="38"/>
      <c r="F107" s="48"/>
      <c r="G107" s="40"/>
      <c r="H107" s="41"/>
      <c r="I107" s="42"/>
      <c r="J107" s="43"/>
      <c r="K107" s="48"/>
    </row>
    <row r="108">
      <c r="A108" s="46"/>
      <c r="B108" s="35"/>
      <c r="C108" s="36"/>
      <c r="D108" s="37"/>
      <c r="E108" s="38"/>
      <c r="F108" s="48"/>
      <c r="G108" s="40"/>
      <c r="H108" s="41"/>
      <c r="I108" s="42"/>
      <c r="J108" s="43"/>
      <c r="K108" s="48"/>
    </row>
    <row r="109">
      <c r="A109" s="46"/>
      <c r="B109" s="35"/>
      <c r="C109" s="36"/>
      <c r="D109" s="37"/>
      <c r="E109" s="38"/>
      <c r="F109" s="48"/>
      <c r="G109" s="40"/>
      <c r="H109" s="41"/>
      <c r="I109" s="42"/>
      <c r="J109" s="43"/>
      <c r="K109" s="48"/>
    </row>
    <row r="110">
      <c r="A110" s="46"/>
      <c r="B110" s="35"/>
      <c r="C110" s="36"/>
      <c r="D110" s="37"/>
      <c r="E110" s="38"/>
      <c r="F110" s="48"/>
      <c r="G110" s="40"/>
      <c r="H110" s="41"/>
      <c r="I110" s="42"/>
      <c r="J110" s="43"/>
      <c r="K110" s="48"/>
    </row>
    <row r="111">
      <c r="A111" s="46"/>
      <c r="B111" s="35"/>
      <c r="C111" s="36"/>
      <c r="D111" s="37"/>
      <c r="E111" s="38"/>
      <c r="F111" s="48"/>
      <c r="G111" s="40"/>
      <c r="H111" s="41"/>
      <c r="I111" s="42"/>
      <c r="J111" s="43"/>
      <c r="K111" s="48"/>
    </row>
    <row r="112">
      <c r="A112" s="46"/>
      <c r="B112" s="35"/>
      <c r="C112" s="36"/>
      <c r="D112" s="37"/>
      <c r="E112" s="38"/>
      <c r="F112" s="39"/>
      <c r="G112" s="40"/>
      <c r="H112" s="41"/>
      <c r="I112" s="42"/>
      <c r="J112" s="43"/>
      <c r="K112" s="44"/>
    </row>
    <row r="113">
      <c r="A113" s="46"/>
      <c r="B113" s="35"/>
      <c r="C113" s="36"/>
      <c r="D113" s="37"/>
      <c r="E113" s="38"/>
      <c r="F113" s="39"/>
      <c r="G113" s="40"/>
      <c r="H113" s="70"/>
      <c r="I113" s="42"/>
      <c r="J113" s="43"/>
      <c r="K113" s="44"/>
    </row>
    <row r="114">
      <c r="A114" s="46"/>
      <c r="B114" s="35"/>
      <c r="C114" s="36"/>
      <c r="D114" s="37"/>
      <c r="E114" s="38"/>
      <c r="F114" s="39"/>
      <c r="G114" s="40"/>
      <c r="H114" s="70"/>
      <c r="I114" s="42"/>
      <c r="J114" s="43"/>
      <c r="K114" s="44"/>
    </row>
    <row r="115">
      <c r="A115" s="46"/>
      <c r="B115" s="35"/>
      <c r="C115" s="36"/>
      <c r="D115" s="37"/>
      <c r="E115" s="38"/>
      <c r="F115" s="39"/>
      <c r="G115" s="40"/>
      <c r="H115" s="70"/>
      <c r="I115" s="42"/>
      <c r="J115" s="43"/>
      <c r="K115" s="44"/>
    </row>
    <row r="116">
      <c r="A116" s="46"/>
      <c r="B116" s="35"/>
      <c r="C116" s="36"/>
      <c r="D116" s="37"/>
      <c r="E116" s="38"/>
      <c r="F116" s="39"/>
      <c r="G116" s="40"/>
      <c r="H116" s="70"/>
      <c r="I116" s="42"/>
      <c r="J116" s="43"/>
      <c r="K116" s="44"/>
    </row>
    <row r="117">
      <c r="A117" s="46"/>
      <c r="B117" s="35"/>
      <c r="C117" s="36"/>
      <c r="D117" s="37"/>
      <c r="E117" s="38"/>
      <c r="F117" s="39"/>
      <c r="G117" s="40"/>
      <c r="H117" s="70"/>
      <c r="I117" s="42"/>
      <c r="J117" s="43"/>
      <c r="K117" s="44"/>
    </row>
    <row r="118">
      <c r="A118" s="46"/>
      <c r="B118" s="35"/>
      <c r="C118" s="36"/>
      <c r="D118" s="37"/>
      <c r="E118" s="38"/>
      <c r="F118" s="39"/>
      <c r="G118" s="40"/>
      <c r="H118" s="70"/>
      <c r="I118" s="42"/>
      <c r="J118" s="43"/>
      <c r="K118" s="44"/>
    </row>
    <row r="119">
      <c r="A119" s="46"/>
      <c r="B119" s="35"/>
      <c r="C119" s="36"/>
      <c r="D119" s="37"/>
      <c r="E119" s="38"/>
      <c r="F119" s="39"/>
      <c r="G119" s="40"/>
      <c r="H119" s="70"/>
      <c r="I119" s="42"/>
      <c r="J119" s="43"/>
      <c r="K119" s="44"/>
    </row>
    <row r="120">
      <c r="A120" s="46"/>
      <c r="B120" s="35"/>
      <c r="C120" s="36"/>
      <c r="D120" s="37"/>
      <c r="E120" s="38"/>
      <c r="F120" s="39"/>
      <c r="G120" s="40"/>
      <c r="H120" s="70"/>
      <c r="I120" s="42"/>
      <c r="J120" s="43"/>
      <c r="K120" s="44"/>
    </row>
    <row r="121">
      <c r="A121" s="46"/>
      <c r="B121" s="35"/>
      <c r="C121" s="36"/>
      <c r="D121" s="37"/>
      <c r="E121" s="38"/>
      <c r="F121" s="39"/>
      <c r="G121" s="40"/>
      <c r="H121" s="70"/>
      <c r="I121" s="42"/>
      <c r="J121" s="43"/>
      <c r="K121" s="44"/>
    </row>
    <row r="122">
      <c r="A122" s="46"/>
      <c r="B122" s="35"/>
      <c r="C122" s="36"/>
      <c r="D122" s="37"/>
      <c r="E122" s="38"/>
      <c r="F122" s="39"/>
      <c r="G122" s="40"/>
      <c r="H122" s="70"/>
      <c r="I122" s="42"/>
      <c r="J122" s="43"/>
      <c r="K122" s="44"/>
    </row>
    <row r="123">
      <c r="A123" s="46"/>
      <c r="B123" s="35"/>
      <c r="C123" s="36"/>
      <c r="D123" s="37"/>
      <c r="E123" s="38"/>
      <c r="F123" s="39"/>
      <c r="G123" s="40"/>
      <c r="H123" s="70"/>
      <c r="I123" s="42"/>
      <c r="J123" s="43"/>
      <c r="K123" s="44"/>
    </row>
    <row r="124">
      <c r="A124" s="46"/>
      <c r="B124" s="35"/>
      <c r="C124" s="36"/>
      <c r="D124" s="37"/>
      <c r="E124" s="38"/>
      <c r="F124" s="39"/>
      <c r="G124" s="40"/>
      <c r="H124" s="70"/>
      <c r="I124" s="42"/>
      <c r="J124" s="43"/>
      <c r="K124" s="44"/>
    </row>
    <row r="125">
      <c r="A125" s="46"/>
      <c r="B125" s="35"/>
      <c r="C125" s="36"/>
      <c r="D125" s="37"/>
      <c r="E125" s="38"/>
      <c r="F125" s="39"/>
      <c r="G125" s="40"/>
      <c r="H125" s="70"/>
      <c r="I125" s="42"/>
      <c r="J125" s="43"/>
      <c r="K125" s="44"/>
    </row>
    <row r="126">
      <c r="A126" s="46"/>
      <c r="B126" s="35"/>
      <c r="C126" s="36"/>
      <c r="D126" s="37"/>
      <c r="E126" s="38"/>
      <c r="F126" s="39"/>
      <c r="G126" s="40"/>
      <c r="H126" s="70"/>
      <c r="I126" s="42"/>
      <c r="J126" s="43"/>
      <c r="K126" s="44"/>
    </row>
    <row r="127">
      <c r="A127" s="46"/>
      <c r="B127" s="35"/>
      <c r="C127" s="36"/>
      <c r="D127" s="37"/>
      <c r="E127" s="38"/>
      <c r="F127" s="39"/>
      <c r="G127" s="40"/>
      <c r="H127" s="70"/>
      <c r="I127" s="42"/>
      <c r="J127" s="43"/>
      <c r="K127" s="44"/>
    </row>
    <row r="128">
      <c r="A128" s="46"/>
      <c r="B128" s="35"/>
      <c r="C128" s="36"/>
      <c r="D128" s="37"/>
      <c r="E128" s="38"/>
      <c r="F128" s="39"/>
      <c r="G128" s="40"/>
      <c r="H128" s="70"/>
      <c r="I128" s="42"/>
      <c r="J128" s="43"/>
      <c r="K128" s="44"/>
    </row>
    <row r="129">
      <c r="A129" s="46"/>
      <c r="B129" s="35"/>
      <c r="C129" s="36"/>
      <c r="D129" s="37"/>
      <c r="E129" s="38"/>
      <c r="F129" s="39"/>
      <c r="G129" s="40"/>
      <c r="H129" s="70"/>
      <c r="I129" s="42"/>
      <c r="J129" s="43"/>
      <c r="K129" s="44"/>
    </row>
    <row r="130">
      <c r="A130" s="46"/>
      <c r="B130" s="35"/>
      <c r="C130" s="36"/>
      <c r="D130" s="37"/>
      <c r="E130" s="38"/>
      <c r="F130" s="39"/>
      <c r="G130" s="40"/>
      <c r="H130" s="70"/>
      <c r="I130" s="42"/>
      <c r="J130" s="43"/>
      <c r="K130" s="44"/>
    </row>
    <row r="131">
      <c r="A131" s="46"/>
      <c r="B131" s="35"/>
      <c r="C131" s="36"/>
      <c r="D131" s="37"/>
      <c r="E131" s="38"/>
      <c r="F131" s="39"/>
      <c r="G131" s="40"/>
      <c r="H131" s="70"/>
      <c r="I131" s="42"/>
      <c r="J131" s="43"/>
      <c r="K131" s="44"/>
    </row>
    <row r="132">
      <c r="A132" s="46"/>
      <c r="B132" s="35"/>
      <c r="C132" s="36"/>
      <c r="D132" s="37"/>
      <c r="E132" s="38"/>
      <c r="F132" s="39"/>
      <c r="G132" s="40"/>
      <c r="H132" s="70"/>
      <c r="I132" s="42"/>
      <c r="J132" s="43"/>
      <c r="K132" s="44"/>
    </row>
    <row r="133">
      <c r="A133" s="46"/>
      <c r="B133" s="35"/>
      <c r="C133" s="36"/>
      <c r="D133" s="37"/>
      <c r="E133" s="38"/>
      <c r="F133" s="39"/>
      <c r="G133" s="40"/>
      <c r="H133" s="70"/>
      <c r="I133" s="42"/>
      <c r="J133" s="43"/>
      <c r="K133" s="44"/>
    </row>
    <row r="134">
      <c r="A134" s="46"/>
      <c r="B134" s="35"/>
      <c r="C134" s="36"/>
      <c r="D134" s="37"/>
      <c r="E134" s="38"/>
      <c r="F134" s="39"/>
      <c r="G134" s="40"/>
      <c r="H134" s="70"/>
      <c r="I134" s="42"/>
      <c r="J134" s="43"/>
      <c r="K134" s="44"/>
    </row>
    <row r="135">
      <c r="A135" s="46"/>
      <c r="B135" s="35"/>
      <c r="C135" s="36"/>
      <c r="D135" s="37"/>
      <c r="E135" s="38"/>
      <c r="F135" s="39"/>
      <c r="G135" s="40"/>
      <c r="H135" s="70"/>
      <c r="I135" s="42"/>
      <c r="J135" s="43"/>
      <c r="K135" s="44"/>
    </row>
    <row r="136">
      <c r="A136" s="46"/>
      <c r="B136" s="35"/>
      <c r="C136" s="36"/>
      <c r="D136" s="37"/>
      <c r="E136" s="38"/>
      <c r="F136" s="39"/>
      <c r="G136" s="40"/>
      <c r="H136" s="70"/>
      <c r="I136" s="42"/>
      <c r="J136" s="43"/>
      <c r="K136" s="44"/>
    </row>
    <row r="137">
      <c r="A137" s="46"/>
      <c r="B137" s="35"/>
      <c r="C137" s="36"/>
      <c r="D137" s="37"/>
      <c r="E137" s="38"/>
      <c r="F137" s="39"/>
      <c r="G137" s="40"/>
      <c r="H137" s="70"/>
      <c r="I137" s="42"/>
      <c r="J137" s="43"/>
      <c r="K137" s="44"/>
    </row>
    <row r="138">
      <c r="A138" s="46"/>
      <c r="B138" s="35"/>
      <c r="C138" s="36"/>
      <c r="D138" s="37"/>
      <c r="E138" s="38"/>
      <c r="F138" s="39"/>
      <c r="G138" s="40"/>
      <c r="H138" s="70"/>
      <c r="I138" s="42"/>
      <c r="J138" s="43"/>
      <c r="K138" s="44"/>
    </row>
    <row r="139">
      <c r="A139" s="46"/>
      <c r="B139" s="35"/>
      <c r="C139" s="36"/>
      <c r="D139" s="37"/>
      <c r="E139" s="38"/>
      <c r="F139" s="39"/>
      <c r="G139" s="40"/>
      <c r="H139" s="70"/>
      <c r="I139" s="42"/>
      <c r="J139" s="43"/>
      <c r="K139" s="44"/>
    </row>
    <row r="140">
      <c r="A140" s="46"/>
      <c r="B140" s="35"/>
      <c r="C140" s="36"/>
      <c r="D140" s="37"/>
      <c r="E140" s="38"/>
      <c r="F140" s="39"/>
      <c r="G140" s="40"/>
      <c r="H140" s="70"/>
      <c r="I140" s="42"/>
      <c r="J140" s="43"/>
      <c r="K140" s="44"/>
    </row>
    <row r="141">
      <c r="A141" s="46"/>
      <c r="B141" s="35"/>
      <c r="C141" s="36"/>
      <c r="D141" s="37"/>
      <c r="E141" s="38"/>
      <c r="F141" s="39"/>
      <c r="G141" s="40"/>
      <c r="H141" s="70"/>
      <c r="I141" s="42"/>
      <c r="J141" s="43"/>
      <c r="K141" s="44"/>
    </row>
    <row r="142">
      <c r="A142" s="46"/>
      <c r="B142" s="35"/>
      <c r="C142" s="36"/>
      <c r="D142" s="37"/>
      <c r="E142" s="38"/>
      <c r="F142" s="39"/>
      <c r="G142" s="40"/>
      <c r="H142" s="70"/>
      <c r="I142" s="42"/>
      <c r="J142" s="43"/>
      <c r="K142" s="44"/>
    </row>
    <row r="143">
      <c r="A143" s="46"/>
      <c r="B143" s="35"/>
      <c r="C143" s="36"/>
      <c r="D143" s="37"/>
      <c r="E143" s="38"/>
      <c r="F143" s="39"/>
      <c r="G143" s="40"/>
      <c r="H143" s="70"/>
      <c r="I143" s="42"/>
      <c r="J143" s="43"/>
      <c r="K143" s="44"/>
    </row>
    <row r="144">
      <c r="A144" s="46"/>
      <c r="B144" s="35"/>
      <c r="C144" s="36"/>
      <c r="D144" s="37"/>
      <c r="E144" s="38"/>
      <c r="F144" s="39"/>
      <c r="G144" s="40"/>
      <c r="H144" s="70"/>
      <c r="I144" s="42"/>
      <c r="J144" s="43"/>
      <c r="K144" s="44"/>
    </row>
    <row r="145">
      <c r="A145" s="46"/>
      <c r="B145" s="35"/>
      <c r="C145" s="36"/>
      <c r="D145" s="37"/>
      <c r="E145" s="38"/>
      <c r="F145" s="39"/>
      <c r="G145" s="40"/>
      <c r="H145" s="70"/>
      <c r="I145" s="42"/>
      <c r="J145" s="43"/>
      <c r="K145" s="44"/>
    </row>
    <row r="146">
      <c r="A146" s="46"/>
      <c r="B146" s="35"/>
      <c r="C146" s="36"/>
      <c r="D146" s="37"/>
      <c r="E146" s="38"/>
      <c r="F146" s="39"/>
      <c r="G146" s="40"/>
      <c r="H146" s="70"/>
      <c r="I146" s="42"/>
      <c r="J146" s="43"/>
      <c r="K146" s="44"/>
    </row>
    <row r="147">
      <c r="A147" s="46"/>
      <c r="B147" s="35"/>
      <c r="C147" s="36"/>
      <c r="D147" s="37"/>
      <c r="E147" s="38"/>
      <c r="F147" s="39"/>
      <c r="G147" s="40"/>
      <c r="H147" s="70"/>
      <c r="I147" s="42"/>
      <c r="J147" s="43"/>
      <c r="K147" s="44"/>
    </row>
    <row r="148">
      <c r="A148" s="46"/>
      <c r="B148" s="35"/>
      <c r="C148" s="36"/>
      <c r="D148" s="37"/>
      <c r="E148" s="38"/>
      <c r="F148" s="48"/>
      <c r="G148" s="40"/>
      <c r="H148" s="70"/>
      <c r="I148" s="42"/>
      <c r="J148" s="43"/>
      <c r="K148" s="48"/>
    </row>
    <row r="149">
      <c r="A149" s="46"/>
      <c r="B149" s="35"/>
      <c r="C149" s="36"/>
      <c r="D149" s="37"/>
      <c r="E149" s="38"/>
      <c r="F149" s="48"/>
      <c r="G149" s="40"/>
      <c r="H149" s="70"/>
      <c r="I149" s="42"/>
      <c r="J149" s="43"/>
      <c r="K149" s="48"/>
    </row>
    <row r="150">
      <c r="A150" s="46"/>
      <c r="B150" s="35"/>
      <c r="C150" s="36"/>
      <c r="D150" s="71"/>
      <c r="E150" s="45"/>
      <c r="F150" s="39"/>
      <c r="G150" s="40"/>
      <c r="H150" s="41"/>
      <c r="I150" s="42"/>
      <c r="J150" s="43"/>
      <c r="K150" s="44"/>
    </row>
    <row r="151">
      <c r="A151" s="46"/>
      <c r="B151" s="35"/>
      <c r="C151" s="36"/>
      <c r="D151" s="37"/>
      <c r="E151" s="38"/>
      <c r="F151" s="48"/>
      <c r="G151" s="40"/>
      <c r="H151" s="41"/>
      <c r="I151" s="42"/>
      <c r="J151" s="43"/>
      <c r="K151" s="48"/>
    </row>
    <row r="152">
      <c r="A152" s="46"/>
      <c r="B152" s="35"/>
      <c r="C152" s="36"/>
      <c r="D152" s="71"/>
      <c r="E152" s="45"/>
      <c r="F152" s="39"/>
      <c r="G152" s="40"/>
      <c r="H152" s="41"/>
      <c r="I152" s="42"/>
      <c r="J152" s="43"/>
      <c r="K152" s="44"/>
    </row>
    <row r="153">
      <c r="A153" s="46"/>
      <c r="B153" s="35"/>
      <c r="C153" s="36"/>
      <c r="D153" s="71"/>
      <c r="E153" s="45"/>
      <c r="F153" s="39"/>
      <c r="G153" s="40"/>
      <c r="H153" s="41"/>
      <c r="I153" s="42"/>
      <c r="J153" s="43"/>
      <c r="K153" s="44"/>
    </row>
    <row r="154">
      <c r="A154" s="46"/>
      <c r="B154" s="35"/>
      <c r="C154" s="36"/>
      <c r="D154" s="37"/>
      <c r="E154" s="38"/>
      <c r="F154" s="48"/>
      <c r="G154" s="40"/>
      <c r="H154" s="41"/>
      <c r="I154" s="42"/>
      <c r="J154" s="43"/>
      <c r="K154" s="48"/>
    </row>
    <row r="155">
      <c r="A155" s="46"/>
      <c r="B155" s="35"/>
      <c r="C155" s="36"/>
      <c r="D155" s="72"/>
      <c r="E155" s="45"/>
      <c r="F155" s="39"/>
      <c r="G155" s="40"/>
      <c r="H155" s="41"/>
      <c r="I155" s="42"/>
      <c r="J155" s="43"/>
      <c r="K155" s="44"/>
    </row>
    <row r="156">
      <c r="A156" s="46"/>
      <c r="B156" s="35"/>
      <c r="C156" s="36"/>
      <c r="D156" s="73"/>
      <c r="E156" s="74"/>
      <c r="F156" s="68"/>
      <c r="G156" s="40"/>
      <c r="H156" s="41"/>
      <c r="I156" s="42"/>
      <c r="J156" s="43"/>
      <c r="K156" s="73"/>
    </row>
    <row r="157">
      <c r="A157" s="46"/>
      <c r="B157" s="35"/>
      <c r="C157" s="36"/>
      <c r="D157" s="75"/>
      <c r="E157" s="76"/>
      <c r="F157" s="68"/>
      <c r="G157" s="40"/>
      <c r="H157" s="41"/>
      <c r="I157" s="42"/>
      <c r="J157" s="43"/>
      <c r="K157" s="75"/>
    </row>
    <row r="158">
      <c r="A158" s="46"/>
      <c r="B158" s="35"/>
      <c r="C158" s="36"/>
      <c r="D158" s="66"/>
      <c r="E158" s="77"/>
      <c r="F158" s="37"/>
      <c r="G158" s="40"/>
      <c r="H158" s="41"/>
      <c r="I158" s="42"/>
      <c r="J158" s="43"/>
      <c r="K158" s="66"/>
    </row>
    <row r="159">
      <c r="A159" s="46"/>
      <c r="B159" s="35"/>
      <c r="C159" s="36"/>
      <c r="D159" s="66"/>
      <c r="E159" s="77"/>
      <c r="F159" s="37"/>
      <c r="G159" s="40"/>
      <c r="H159" s="41"/>
      <c r="I159" s="42"/>
      <c r="J159" s="43"/>
      <c r="K159" s="66"/>
    </row>
    <row r="160">
      <c r="A160" s="46"/>
      <c r="B160" s="35"/>
      <c r="C160" s="36"/>
      <c r="D160" s="66"/>
      <c r="E160" s="77"/>
      <c r="F160" s="37"/>
      <c r="G160" s="40"/>
      <c r="H160" s="41"/>
      <c r="I160" s="42"/>
      <c r="J160" s="43"/>
      <c r="K160" s="66"/>
    </row>
    <row r="161">
      <c r="A161" s="46"/>
      <c r="B161" s="35"/>
      <c r="C161" s="36"/>
      <c r="D161" s="66"/>
      <c r="E161" s="77"/>
      <c r="F161" s="37"/>
      <c r="G161" s="40"/>
      <c r="H161" s="41"/>
      <c r="I161" s="42"/>
      <c r="J161" s="43"/>
      <c r="K161" s="66"/>
    </row>
    <row r="162">
      <c r="A162" s="46"/>
      <c r="B162" s="35"/>
      <c r="C162" s="36"/>
      <c r="D162" s="66"/>
      <c r="E162" s="77"/>
      <c r="F162" s="37"/>
      <c r="G162" s="40"/>
      <c r="H162" s="41"/>
      <c r="I162" s="42"/>
      <c r="J162" s="43"/>
      <c r="K162" s="66"/>
    </row>
    <row r="163">
      <c r="A163" s="46"/>
      <c r="B163" s="35"/>
      <c r="C163" s="36"/>
      <c r="D163" s="66"/>
      <c r="E163" s="77"/>
      <c r="F163" s="37"/>
      <c r="G163" s="40"/>
      <c r="H163" s="41"/>
      <c r="I163" s="42"/>
      <c r="J163" s="43"/>
      <c r="K163" s="66"/>
    </row>
    <row r="164">
      <c r="A164" s="46"/>
      <c r="B164" s="35"/>
      <c r="C164" s="36"/>
      <c r="D164" s="66"/>
      <c r="E164" s="78"/>
      <c r="F164" s="37"/>
      <c r="G164" s="40"/>
      <c r="H164" s="41"/>
      <c r="I164" s="42"/>
      <c r="J164" s="43"/>
      <c r="K164" s="66"/>
    </row>
    <row r="165">
      <c r="A165" s="46"/>
      <c r="B165" s="35"/>
      <c r="C165" s="36"/>
      <c r="D165" s="66"/>
      <c r="E165" s="77"/>
      <c r="F165" s="37"/>
      <c r="G165" s="40"/>
      <c r="H165" s="41"/>
      <c r="I165" s="42"/>
      <c r="J165" s="43"/>
      <c r="K165" s="66"/>
    </row>
    <row r="166">
      <c r="A166" s="46"/>
      <c r="B166" s="35"/>
      <c r="C166" s="36"/>
      <c r="D166" s="66"/>
      <c r="E166" s="77"/>
      <c r="F166" s="37"/>
      <c r="G166" s="40"/>
      <c r="H166" s="41"/>
      <c r="I166" s="42"/>
      <c r="J166" s="43"/>
      <c r="K166" s="66"/>
    </row>
    <row r="167">
      <c r="A167" s="79"/>
      <c r="B167" s="35"/>
      <c r="C167" s="36"/>
      <c r="D167" s="66"/>
      <c r="E167" s="77"/>
      <c r="F167" s="37"/>
      <c r="G167" s="40"/>
      <c r="H167" s="41"/>
      <c r="I167" s="42"/>
      <c r="J167" s="43"/>
      <c r="K167" s="66"/>
    </row>
    <row r="168">
      <c r="A168" s="46"/>
      <c r="B168" s="35"/>
      <c r="C168" s="36"/>
      <c r="D168" s="66"/>
      <c r="E168" s="77"/>
      <c r="F168" s="37"/>
      <c r="G168" s="40"/>
      <c r="H168" s="41"/>
      <c r="I168" s="42"/>
      <c r="J168" s="43"/>
      <c r="K168" s="66"/>
    </row>
    <row r="169">
      <c r="A169" s="46"/>
      <c r="B169" s="35"/>
      <c r="C169" s="36"/>
      <c r="D169" s="66"/>
      <c r="E169" s="77"/>
      <c r="F169" s="37"/>
      <c r="G169" s="40"/>
      <c r="H169" s="41"/>
      <c r="I169" s="42"/>
      <c r="J169" s="43"/>
      <c r="K169" s="66"/>
    </row>
    <row r="170">
      <c r="A170" s="46"/>
      <c r="B170" s="35"/>
      <c r="C170" s="36"/>
      <c r="D170" s="66"/>
      <c r="E170" s="77"/>
      <c r="F170" s="37"/>
      <c r="G170" s="40"/>
      <c r="H170" s="41"/>
      <c r="I170" s="42"/>
      <c r="J170" s="43"/>
      <c r="K170" s="66"/>
    </row>
    <row r="171">
      <c r="A171" s="46"/>
      <c r="B171" s="35"/>
      <c r="C171" s="36"/>
      <c r="D171" s="66"/>
      <c r="E171" s="77"/>
      <c r="F171" s="37"/>
      <c r="G171" s="40"/>
      <c r="H171" s="41"/>
      <c r="I171" s="42"/>
      <c r="J171" s="43"/>
      <c r="K171" s="66"/>
    </row>
    <row r="172">
      <c r="A172" s="46"/>
      <c r="B172" s="35"/>
      <c r="C172" s="36"/>
      <c r="D172" s="66"/>
      <c r="E172" s="77"/>
      <c r="F172" s="37"/>
      <c r="G172" s="40"/>
      <c r="H172" s="41"/>
      <c r="I172" s="42"/>
      <c r="J172" s="43"/>
      <c r="K172" s="66"/>
    </row>
    <row r="173">
      <c r="A173" s="46"/>
      <c r="B173" s="35"/>
      <c r="C173" s="36"/>
      <c r="D173" s="66"/>
      <c r="E173" s="77"/>
      <c r="F173" s="37"/>
      <c r="G173" s="40"/>
      <c r="H173" s="41"/>
      <c r="I173" s="42"/>
      <c r="J173" s="43"/>
      <c r="K173" s="66"/>
    </row>
    <row r="174">
      <c r="A174" s="46"/>
      <c r="B174" s="35"/>
      <c r="C174" s="36"/>
      <c r="D174" s="66"/>
      <c r="E174" s="78"/>
      <c r="F174" s="37"/>
      <c r="G174" s="40"/>
      <c r="H174" s="41"/>
      <c r="I174" s="42"/>
      <c r="J174" s="43"/>
      <c r="K174" s="66"/>
    </row>
    <row r="175">
      <c r="A175" s="46"/>
      <c r="B175" s="35"/>
      <c r="C175" s="36"/>
      <c r="D175" s="66"/>
      <c r="E175" s="78"/>
      <c r="F175" s="37"/>
      <c r="G175" s="40"/>
      <c r="H175" s="41"/>
      <c r="I175" s="42"/>
      <c r="J175" s="43"/>
      <c r="K175" s="66"/>
    </row>
    <row r="176">
      <c r="A176" s="46"/>
      <c r="B176" s="35"/>
      <c r="C176" s="36"/>
      <c r="D176" s="66"/>
      <c r="E176" s="78"/>
      <c r="F176" s="37"/>
      <c r="G176" s="40"/>
      <c r="H176" s="41"/>
      <c r="I176" s="42"/>
      <c r="J176" s="43"/>
      <c r="K176" s="66"/>
    </row>
    <row r="177">
      <c r="A177" s="46"/>
      <c r="B177" s="35"/>
      <c r="C177" s="36"/>
      <c r="D177" s="66"/>
      <c r="E177" s="77"/>
      <c r="F177" s="37"/>
      <c r="G177" s="40"/>
      <c r="H177" s="41"/>
      <c r="I177" s="42"/>
      <c r="J177" s="43"/>
      <c r="K177" s="66"/>
    </row>
    <row r="178">
      <c r="A178" s="46"/>
      <c r="B178" s="35"/>
      <c r="C178" s="36"/>
      <c r="D178" s="66"/>
      <c r="E178" s="78"/>
      <c r="F178" s="37"/>
      <c r="G178" s="40"/>
      <c r="H178" s="41"/>
      <c r="I178" s="42"/>
      <c r="J178" s="43"/>
      <c r="K178" s="66"/>
    </row>
    <row r="179">
      <c r="A179" s="46"/>
      <c r="B179" s="35"/>
      <c r="C179" s="36"/>
      <c r="D179" s="66"/>
      <c r="E179" s="78"/>
      <c r="F179" s="37"/>
      <c r="G179" s="40"/>
      <c r="H179" s="41"/>
      <c r="I179" s="42"/>
      <c r="J179" s="43"/>
      <c r="K179" s="66"/>
    </row>
    <row r="180">
      <c r="A180" s="46"/>
      <c r="B180" s="35"/>
      <c r="C180" s="36"/>
      <c r="D180" s="66"/>
      <c r="E180" s="77"/>
      <c r="F180" s="37"/>
      <c r="G180" s="40"/>
      <c r="H180" s="41"/>
      <c r="I180" s="42"/>
      <c r="J180" s="43"/>
      <c r="K180" s="66"/>
    </row>
    <row r="181">
      <c r="A181" s="46"/>
      <c r="B181" s="35"/>
      <c r="C181" s="36"/>
      <c r="D181" s="66"/>
      <c r="E181" s="77"/>
      <c r="F181" s="37"/>
      <c r="G181" s="40"/>
      <c r="H181" s="41"/>
      <c r="I181" s="42"/>
      <c r="J181" s="43"/>
      <c r="K181" s="66"/>
    </row>
    <row r="182">
      <c r="A182" s="46"/>
      <c r="B182" s="35"/>
      <c r="C182" s="36"/>
      <c r="D182" s="66"/>
      <c r="E182" s="77"/>
      <c r="F182" s="37"/>
      <c r="G182" s="40"/>
      <c r="H182" s="41"/>
      <c r="I182" s="42"/>
      <c r="J182" s="43"/>
      <c r="K182" s="66"/>
    </row>
    <row r="183">
      <c r="A183" s="46"/>
      <c r="B183" s="35"/>
      <c r="C183" s="36"/>
      <c r="D183" s="66"/>
      <c r="E183" s="77"/>
      <c r="F183" s="37"/>
      <c r="G183" s="40"/>
      <c r="H183" s="41"/>
      <c r="I183" s="42"/>
      <c r="J183" s="43"/>
      <c r="K183" s="66"/>
    </row>
    <row r="184">
      <c r="A184" s="79"/>
      <c r="B184" s="35"/>
      <c r="C184" s="36"/>
      <c r="D184" s="66"/>
      <c r="E184" s="77"/>
      <c r="F184" s="37"/>
      <c r="G184" s="40"/>
      <c r="H184" s="41"/>
      <c r="I184" s="42"/>
      <c r="J184" s="43"/>
      <c r="K184" s="66"/>
    </row>
    <row r="185">
      <c r="A185" s="46"/>
      <c r="B185" s="35"/>
      <c r="C185" s="36"/>
      <c r="D185" s="66"/>
      <c r="E185" s="77"/>
      <c r="F185" s="37"/>
      <c r="G185" s="40"/>
      <c r="H185" s="41"/>
      <c r="I185" s="42"/>
      <c r="J185" s="43"/>
      <c r="K185" s="66"/>
    </row>
    <row r="186">
      <c r="A186" s="46"/>
      <c r="B186" s="35"/>
      <c r="C186" s="36"/>
      <c r="D186" s="66"/>
      <c r="E186" s="77"/>
      <c r="F186" s="37"/>
      <c r="G186" s="40"/>
      <c r="H186" s="41"/>
      <c r="I186" s="42"/>
      <c r="J186" s="43"/>
      <c r="K186" s="66"/>
    </row>
    <row r="187">
      <c r="A187" s="79"/>
      <c r="B187" s="35"/>
      <c r="C187" s="36"/>
      <c r="D187" s="66"/>
      <c r="E187" s="77"/>
      <c r="F187" s="37"/>
      <c r="G187" s="40"/>
      <c r="H187" s="41"/>
      <c r="I187" s="42"/>
      <c r="J187" s="43"/>
      <c r="K187" s="66"/>
    </row>
    <row r="188">
      <c r="A188" s="46"/>
      <c r="B188" s="35"/>
      <c r="C188" s="36"/>
      <c r="D188" s="66"/>
      <c r="E188" s="77"/>
      <c r="F188" s="37"/>
      <c r="G188" s="40"/>
      <c r="H188" s="41"/>
      <c r="I188" s="42"/>
      <c r="J188" s="43"/>
      <c r="K188" s="66"/>
    </row>
    <row r="189">
      <c r="A189" s="46"/>
      <c r="B189" s="35"/>
      <c r="C189" s="36"/>
      <c r="D189" s="66"/>
      <c r="E189" s="77"/>
      <c r="F189" s="37"/>
      <c r="G189" s="40"/>
      <c r="H189" s="41"/>
      <c r="I189" s="42"/>
      <c r="J189" s="43"/>
      <c r="K189" s="66"/>
    </row>
    <row r="190">
      <c r="A190" s="46"/>
      <c r="B190" s="35"/>
      <c r="C190" s="36"/>
      <c r="D190" s="66"/>
      <c r="E190" s="77"/>
      <c r="F190" s="37"/>
      <c r="G190" s="40"/>
      <c r="H190" s="41"/>
      <c r="I190" s="42"/>
      <c r="J190" s="43"/>
      <c r="K190" s="66"/>
    </row>
    <row r="191">
      <c r="A191" s="46"/>
      <c r="B191" s="35"/>
      <c r="C191" s="36"/>
      <c r="D191" s="66"/>
      <c r="E191" s="77"/>
      <c r="F191" s="37"/>
      <c r="G191" s="40"/>
      <c r="H191" s="41"/>
      <c r="I191" s="42"/>
      <c r="J191" s="43"/>
      <c r="K191" s="66"/>
    </row>
    <row r="192">
      <c r="A192" s="46"/>
      <c r="B192" s="35"/>
      <c r="C192" s="36"/>
      <c r="D192" s="66"/>
      <c r="E192" s="77"/>
      <c r="F192" s="37"/>
      <c r="G192" s="40"/>
      <c r="H192" s="41"/>
      <c r="I192" s="42"/>
      <c r="J192" s="43"/>
      <c r="K192" s="66"/>
    </row>
    <row r="193">
      <c r="A193" s="46"/>
      <c r="B193" s="35"/>
      <c r="C193" s="36"/>
      <c r="D193" s="66"/>
      <c r="E193" s="77"/>
      <c r="F193" s="37"/>
      <c r="G193" s="40"/>
      <c r="H193" s="41"/>
      <c r="I193" s="42"/>
      <c r="J193" s="43"/>
      <c r="K193" s="66"/>
    </row>
    <row r="194">
      <c r="A194" s="46"/>
      <c r="B194" s="35"/>
      <c r="C194" s="36"/>
      <c r="D194" s="66"/>
      <c r="E194" s="77"/>
      <c r="F194" s="37"/>
      <c r="G194" s="40"/>
      <c r="H194" s="41"/>
      <c r="I194" s="42"/>
      <c r="J194" s="43"/>
      <c r="K194" s="66"/>
    </row>
    <row r="195">
      <c r="A195" s="46"/>
      <c r="B195" s="35"/>
      <c r="C195" s="36"/>
      <c r="D195" s="66"/>
      <c r="E195" s="77"/>
      <c r="F195" s="37"/>
      <c r="G195" s="40"/>
      <c r="H195" s="41"/>
      <c r="I195" s="42"/>
      <c r="J195" s="43"/>
      <c r="K195" s="66"/>
    </row>
    <row r="196">
      <c r="A196" s="46"/>
      <c r="B196" s="35"/>
      <c r="C196" s="36"/>
      <c r="D196" s="66"/>
      <c r="E196" s="77"/>
      <c r="F196" s="37"/>
      <c r="G196" s="40"/>
      <c r="H196" s="41"/>
      <c r="I196" s="42"/>
      <c r="J196" s="43"/>
      <c r="K196" s="66"/>
    </row>
    <row r="197">
      <c r="A197" s="46"/>
      <c r="B197" s="35"/>
      <c r="C197" s="36"/>
      <c r="D197" s="66"/>
      <c r="E197" s="77"/>
      <c r="F197" s="37"/>
      <c r="G197" s="40"/>
      <c r="H197" s="41"/>
      <c r="I197" s="42"/>
      <c r="J197" s="43"/>
      <c r="K197" s="66"/>
    </row>
    <row r="198">
      <c r="A198" s="46"/>
      <c r="B198" s="35"/>
      <c r="C198" s="36"/>
      <c r="D198" s="66"/>
      <c r="E198" s="78"/>
      <c r="F198" s="80"/>
      <c r="G198" s="40"/>
      <c r="H198" s="41"/>
      <c r="I198" s="42"/>
      <c r="J198" s="43"/>
      <c r="K198" s="66"/>
    </row>
    <row r="199">
      <c r="A199" s="46"/>
      <c r="B199" s="35"/>
      <c r="C199" s="36"/>
      <c r="D199" s="66"/>
      <c r="E199" s="77"/>
      <c r="F199" s="37"/>
      <c r="G199" s="40"/>
      <c r="H199" s="41"/>
      <c r="I199" s="42"/>
      <c r="J199" s="43"/>
      <c r="K199" s="66"/>
    </row>
    <row r="200">
      <c r="A200" s="46"/>
      <c r="B200" s="35"/>
      <c r="C200" s="36"/>
      <c r="D200" s="66"/>
      <c r="E200" s="77"/>
      <c r="F200" s="37"/>
      <c r="G200" s="40"/>
      <c r="H200" s="41"/>
      <c r="I200" s="42"/>
      <c r="J200" s="43"/>
      <c r="K200" s="66"/>
    </row>
    <row r="201">
      <c r="A201" s="46"/>
      <c r="B201" s="35"/>
      <c r="C201" s="36"/>
      <c r="D201" s="66"/>
      <c r="E201" s="77"/>
      <c r="F201" s="37"/>
      <c r="G201" s="40"/>
      <c r="H201" s="41"/>
      <c r="I201" s="42"/>
      <c r="J201" s="43"/>
      <c r="K201" s="66"/>
    </row>
    <row r="202">
      <c r="A202" s="46"/>
      <c r="B202" s="35"/>
      <c r="C202" s="36"/>
      <c r="D202" s="66"/>
      <c r="E202" s="77"/>
      <c r="F202" s="37"/>
      <c r="G202" s="40"/>
      <c r="H202" s="41"/>
      <c r="I202" s="42"/>
      <c r="J202" s="43"/>
      <c r="K202" s="66"/>
    </row>
    <row r="203">
      <c r="A203" s="46"/>
      <c r="B203" s="35"/>
      <c r="C203" s="36"/>
      <c r="D203" s="66"/>
      <c r="E203" s="77"/>
      <c r="F203" s="37"/>
      <c r="G203" s="40"/>
      <c r="H203" s="41"/>
      <c r="I203" s="42"/>
      <c r="J203" s="43"/>
      <c r="K203" s="66"/>
    </row>
    <row r="204">
      <c r="A204" s="79"/>
      <c r="B204" s="35"/>
      <c r="C204" s="36"/>
      <c r="D204" s="66"/>
      <c r="E204" s="77"/>
      <c r="F204" s="37"/>
      <c r="G204" s="40"/>
      <c r="H204" s="41"/>
      <c r="I204" s="42"/>
      <c r="J204" s="43"/>
      <c r="K204" s="66"/>
    </row>
    <row r="205">
      <c r="A205" s="46"/>
      <c r="B205" s="35"/>
      <c r="C205" s="36"/>
      <c r="D205" s="66"/>
      <c r="E205" s="77"/>
      <c r="F205" s="37"/>
      <c r="G205" s="40"/>
      <c r="H205" s="41"/>
      <c r="I205" s="42"/>
      <c r="J205" s="43"/>
      <c r="K205" s="66"/>
    </row>
    <row r="206">
      <c r="A206" s="46"/>
      <c r="B206" s="35"/>
      <c r="C206" s="36"/>
      <c r="D206" s="66"/>
      <c r="E206" s="77"/>
      <c r="F206" s="37"/>
      <c r="G206" s="40"/>
      <c r="H206" s="41"/>
      <c r="I206" s="42"/>
      <c r="J206" s="43"/>
      <c r="K206" s="66"/>
    </row>
    <row r="207">
      <c r="A207" s="46"/>
      <c r="B207" s="35"/>
      <c r="C207" s="36"/>
      <c r="D207" s="66"/>
      <c r="E207" s="77"/>
      <c r="F207" s="37"/>
      <c r="G207" s="40"/>
      <c r="H207" s="41"/>
      <c r="I207" s="42"/>
      <c r="J207" s="43"/>
      <c r="K207" s="66"/>
    </row>
    <row r="208">
      <c r="A208" s="46"/>
      <c r="B208" s="35"/>
      <c r="C208" s="36"/>
      <c r="D208" s="66"/>
      <c r="E208" s="77"/>
      <c r="F208" s="37"/>
      <c r="G208" s="40"/>
      <c r="H208" s="41"/>
      <c r="I208" s="42"/>
      <c r="J208" s="43"/>
      <c r="K208" s="66"/>
    </row>
    <row r="209">
      <c r="A209" s="46"/>
      <c r="B209" s="35"/>
      <c r="C209" s="36"/>
      <c r="D209" s="66"/>
      <c r="E209" s="78"/>
      <c r="F209" s="37"/>
      <c r="G209" s="40"/>
      <c r="H209" s="41"/>
      <c r="I209" s="42"/>
      <c r="J209" s="43"/>
      <c r="K209" s="66"/>
    </row>
    <row r="210">
      <c r="A210" s="46"/>
      <c r="B210" s="35"/>
      <c r="C210" s="36"/>
      <c r="D210" s="66"/>
      <c r="E210" s="77"/>
      <c r="F210" s="37"/>
      <c r="G210" s="40"/>
      <c r="H210" s="41"/>
      <c r="I210" s="42"/>
      <c r="J210" s="43"/>
      <c r="K210" s="66"/>
    </row>
    <row r="211">
      <c r="A211" s="46"/>
      <c r="B211" s="35"/>
      <c r="C211" s="36"/>
      <c r="D211" s="66"/>
      <c r="E211" s="77"/>
      <c r="F211" s="37"/>
      <c r="G211" s="40"/>
      <c r="H211" s="41"/>
      <c r="I211" s="42"/>
      <c r="J211" s="43"/>
      <c r="K211" s="66"/>
    </row>
    <row r="212">
      <c r="A212" s="46"/>
      <c r="B212" s="35"/>
      <c r="C212" s="36"/>
      <c r="D212" s="66"/>
      <c r="E212" s="77"/>
      <c r="F212" s="37"/>
      <c r="G212" s="40"/>
      <c r="H212" s="41"/>
      <c r="I212" s="42"/>
      <c r="J212" s="43"/>
      <c r="K212" s="66"/>
    </row>
    <row r="213">
      <c r="A213" s="46"/>
      <c r="B213" s="35"/>
      <c r="C213" s="36"/>
      <c r="D213" s="66"/>
      <c r="E213" s="77"/>
      <c r="F213" s="37"/>
      <c r="G213" s="40"/>
      <c r="H213" s="41"/>
      <c r="I213" s="42"/>
      <c r="J213" s="43"/>
      <c r="K213" s="66"/>
    </row>
    <row r="214">
      <c r="A214" s="46"/>
      <c r="B214" s="35"/>
      <c r="C214" s="36"/>
      <c r="D214" s="66"/>
      <c r="E214" s="77"/>
      <c r="F214" s="37"/>
      <c r="G214" s="40"/>
      <c r="H214" s="41"/>
      <c r="I214" s="42"/>
      <c r="J214" s="43"/>
      <c r="K214" s="66"/>
    </row>
    <row r="215">
      <c r="A215" s="46"/>
      <c r="B215" s="35"/>
      <c r="C215" s="36"/>
      <c r="D215" s="66"/>
      <c r="E215" s="77"/>
      <c r="F215" s="37"/>
      <c r="G215" s="40"/>
      <c r="H215" s="41"/>
      <c r="I215" s="42"/>
      <c r="J215" s="43"/>
      <c r="K215" s="66"/>
    </row>
    <row r="216">
      <c r="A216" s="46"/>
      <c r="B216" s="35"/>
      <c r="C216" s="36"/>
      <c r="D216" s="66"/>
      <c r="E216" s="77"/>
      <c r="F216" s="37"/>
      <c r="G216" s="40"/>
      <c r="H216" s="41"/>
      <c r="I216" s="42"/>
      <c r="J216" s="43"/>
      <c r="K216" s="66"/>
    </row>
    <row r="217">
      <c r="A217" s="46"/>
      <c r="B217" s="35"/>
      <c r="C217" s="36"/>
      <c r="D217" s="66"/>
      <c r="E217" s="77"/>
      <c r="F217" s="37"/>
      <c r="G217" s="40"/>
      <c r="H217" s="41"/>
      <c r="I217" s="42"/>
      <c r="J217" s="43"/>
      <c r="K217" s="66"/>
    </row>
    <row r="218">
      <c r="A218" s="46"/>
      <c r="B218" s="35"/>
      <c r="C218" s="36"/>
      <c r="D218" s="66"/>
      <c r="E218" s="77"/>
      <c r="F218" s="37"/>
      <c r="G218" s="40"/>
      <c r="H218" s="41"/>
      <c r="I218" s="42"/>
      <c r="J218" s="43"/>
      <c r="K218" s="66"/>
    </row>
    <row r="219">
      <c r="A219" s="46"/>
      <c r="B219" s="35"/>
      <c r="C219" s="36"/>
      <c r="D219" s="66"/>
      <c r="E219" s="77"/>
      <c r="F219" s="37"/>
      <c r="G219" s="40"/>
      <c r="H219" s="41"/>
      <c r="I219" s="42"/>
      <c r="J219" s="43"/>
      <c r="K219" s="66"/>
    </row>
    <row r="220">
      <c r="A220" s="46"/>
      <c r="B220" s="35"/>
      <c r="C220" s="36"/>
      <c r="D220" s="66"/>
      <c r="E220" s="77"/>
      <c r="F220" s="37"/>
      <c r="G220" s="40"/>
      <c r="H220" s="41"/>
      <c r="I220" s="42"/>
      <c r="J220" s="43"/>
      <c r="K220" s="66"/>
    </row>
    <row r="221">
      <c r="A221" s="46"/>
      <c r="B221" s="35"/>
      <c r="C221" s="36"/>
      <c r="D221" s="66"/>
      <c r="E221" s="77"/>
      <c r="F221" s="37"/>
      <c r="G221" s="40"/>
      <c r="H221" s="41"/>
      <c r="I221" s="42"/>
      <c r="J221" s="43"/>
      <c r="K221" s="66"/>
    </row>
    <row r="222">
      <c r="A222" s="46"/>
      <c r="B222" s="35"/>
      <c r="C222" s="36"/>
      <c r="D222" s="66"/>
      <c r="E222" s="77"/>
      <c r="F222" s="37"/>
      <c r="G222" s="40"/>
      <c r="H222" s="41"/>
      <c r="I222" s="42"/>
      <c r="J222" s="43"/>
      <c r="K222" s="66"/>
    </row>
    <row r="223">
      <c r="A223" s="46"/>
      <c r="B223" s="35"/>
      <c r="C223" s="36"/>
      <c r="D223" s="66"/>
      <c r="E223" s="77"/>
      <c r="F223" s="37"/>
      <c r="G223" s="40"/>
      <c r="H223" s="41"/>
      <c r="I223" s="42"/>
      <c r="J223" s="43"/>
      <c r="K223" s="66"/>
    </row>
    <row r="224">
      <c r="A224" s="46"/>
      <c r="B224" s="35"/>
      <c r="C224" s="36"/>
      <c r="D224" s="66"/>
      <c r="E224" s="77"/>
      <c r="F224" s="37"/>
      <c r="G224" s="40"/>
      <c r="H224" s="41"/>
      <c r="I224" s="42"/>
      <c r="J224" s="43"/>
      <c r="K224" s="66"/>
    </row>
    <row r="225">
      <c r="A225" s="46"/>
      <c r="B225" s="35"/>
      <c r="C225" s="36"/>
      <c r="D225" s="66"/>
      <c r="E225" s="77"/>
      <c r="F225" s="37"/>
      <c r="G225" s="40"/>
      <c r="H225" s="41"/>
      <c r="I225" s="42"/>
      <c r="J225" s="43"/>
      <c r="K225" s="66"/>
    </row>
    <row r="226">
      <c r="A226" s="46"/>
      <c r="B226" s="35"/>
      <c r="C226" s="36"/>
      <c r="D226" s="66"/>
      <c r="E226" s="77"/>
      <c r="F226" s="37"/>
      <c r="G226" s="40"/>
      <c r="H226" s="41"/>
      <c r="I226" s="42"/>
      <c r="J226" s="43"/>
      <c r="K226" s="66"/>
    </row>
    <row r="227">
      <c r="A227" s="46"/>
      <c r="B227" s="35"/>
      <c r="C227" s="81"/>
      <c r="D227" s="66"/>
      <c r="E227" s="77"/>
      <c r="F227" s="37"/>
      <c r="G227" s="40"/>
      <c r="H227" s="41"/>
      <c r="I227" s="42"/>
      <c r="J227" s="43"/>
      <c r="K227" s="66"/>
    </row>
    <row r="228">
      <c r="A228" s="46"/>
      <c r="B228" s="35"/>
      <c r="C228" s="81"/>
      <c r="D228" s="66"/>
      <c r="E228" s="77"/>
      <c r="F228" s="37"/>
      <c r="G228" s="40"/>
      <c r="H228" s="41"/>
      <c r="I228" s="42"/>
      <c r="J228" s="43"/>
      <c r="K228" s="66"/>
    </row>
    <row r="229">
      <c r="A229" s="46"/>
      <c r="B229" s="35"/>
      <c r="C229" s="81"/>
      <c r="D229" s="66"/>
      <c r="E229" s="77"/>
      <c r="F229" s="37"/>
      <c r="G229" s="40"/>
      <c r="H229" s="41"/>
      <c r="I229" s="42"/>
      <c r="J229" s="43"/>
      <c r="K229" s="66"/>
    </row>
    <row r="230">
      <c r="A230" s="46"/>
      <c r="B230" s="35"/>
      <c r="C230" s="81"/>
      <c r="D230" s="66"/>
      <c r="E230" s="77"/>
      <c r="F230" s="37"/>
      <c r="G230" s="40"/>
      <c r="H230" s="41"/>
      <c r="I230" s="42"/>
      <c r="J230" s="43"/>
      <c r="K230" s="66"/>
    </row>
    <row r="231">
      <c r="A231" s="46"/>
      <c r="B231" s="35"/>
      <c r="C231" s="81"/>
      <c r="D231" s="66"/>
      <c r="E231" s="77"/>
      <c r="F231" s="37"/>
      <c r="G231" s="40"/>
      <c r="H231" s="41"/>
      <c r="I231" s="42"/>
      <c r="J231" s="43"/>
      <c r="K231" s="66"/>
    </row>
    <row r="232">
      <c r="A232" s="46"/>
      <c r="B232" s="35"/>
      <c r="C232" s="81"/>
      <c r="D232" s="66"/>
      <c r="E232" s="77"/>
      <c r="F232" s="37"/>
      <c r="G232" s="40"/>
      <c r="H232" s="41"/>
      <c r="I232" s="42"/>
      <c r="J232" s="43"/>
      <c r="K232" s="66"/>
    </row>
    <row r="233">
      <c r="A233" s="46"/>
      <c r="B233" s="35"/>
      <c r="C233" s="81"/>
      <c r="D233" s="66"/>
      <c r="E233" s="77"/>
      <c r="F233" s="37"/>
      <c r="G233" s="40"/>
      <c r="H233" s="41"/>
      <c r="I233" s="42"/>
      <c r="J233" s="43"/>
      <c r="K233" s="66"/>
    </row>
    <row r="234">
      <c r="A234" s="46"/>
      <c r="B234" s="35"/>
      <c r="C234" s="81"/>
      <c r="D234" s="66"/>
      <c r="E234" s="77"/>
      <c r="F234" s="37"/>
      <c r="G234" s="40"/>
      <c r="H234" s="41"/>
      <c r="I234" s="42"/>
      <c r="J234" s="43"/>
      <c r="K234" s="66"/>
    </row>
    <row r="235">
      <c r="A235" s="46"/>
      <c r="B235" s="35"/>
      <c r="C235" s="81"/>
      <c r="D235" s="66"/>
      <c r="E235" s="77"/>
      <c r="F235" s="37"/>
      <c r="G235" s="40"/>
      <c r="H235" s="41"/>
      <c r="I235" s="42"/>
      <c r="J235" s="43"/>
      <c r="K235" s="66"/>
    </row>
    <row r="236">
      <c r="A236" s="46"/>
      <c r="B236" s="35"/>
      <c r="C236" s="81"/>
      <c r="D236" s="66"/>
      <c r="E236" s="77"/>
      <c r="F236" s="37"/>
      <c r="G236" s="40"/>
      <c r="H236" s="41"/>
      <c r="I236" s="42"/>
      <c r="J236" s="43"/>
      <c r="K236" s="66"/>
    </row>
    <row r="237">
      <c r="A237" s="46"/>
      <c r="B237" s="35"/>
      <c r="C237" s="81"/>
      <c r="D237" s="66"/>
      <c r="E237" s="77"/>
      <c r="F237" s="37"/>
      <c r="G237" s="40"/>
      <c r="H237" s="41"/>
      <c r="I237" s="42"/>
      <c r="J237" s="43"/>
      <c r="K237" s="66"/>
    </row>
    <row r="238">
      <c r="A238" s="46"/>
      <c r="B238" s="35"/>
      <c r="C238" s="81"/>
      <c r="D238" s="66"/>
      <c r="E238" s="77"/>
      <c r="F238" s="37"/>
      <c r="G238" s="40"/>
      <c r="H238" s="41"/>
      <c r="I238" s="42"/>
      <c r="J238" s="43"/>
      <c r="K238" s="66"/>
    </row>
    <row r="239">
      <c r="A239" s="46"/>
      <c r="B239" s="35"/>
      <c r="C239" s="81"/>
      <c r="D239" s="66"/>
      <c r="E239" s="77"/>
      <c r="F239" s="37"/>
      <c r="G239" s="40"/>
      <c r="H239" s="41"/>
      <c r="I239" s="42"/>
      <c r="J239" s="43"/>
      <c r="K239" s="66"/>
    </row>
    <row r="240">
      <c r="A240" s="46"/>
      <c r="B240" s="35"/>
      <c r="C240" s="81"/>
      <c r="D240" s="66"/>
      <c r="E240" s="77"/>
      <c r="F240" s="37"/>
      <c r="G240" s="40"/>
      <c r="H240" s="41"/>
      <c r="I240" s="42"/>
      <c r="J240" s="43"/>
      <c r="K240" s="66"/>
    </row>
    <row r="241">
      <c r="A241" s="46"/>
      <c r="B241" s="35"/>
      <c r="C241" s="81"/>
      <c r="D241" s="66"/>
      <c r="E241" s="77"/>
      <c r="F241" s="37"/>
      <c r="G241" s="40"/>
      <c r="H241" s="41"/>
      <c r="I241" s="42"/>
      <c r="J241" s="43"/>
      <c r="K241" s="66"/>
    </row>
    <row r="242">
      <c r="A242" s="46"/>
      <c r="B242" s="35"/>
      <c r="C242" s="81"/>
      <c r="D242" s="66"/>
      <c r="E242" s="77"/>
      <c r="F242" s="37"/>
      <c r="G242" s="40"/>
      <c r="H242" s="41"/>
      <c r="I242" s="42"/>
      <c r="J242" s="43"/>
      <c r="K242" s="66"/>
    </row>
    <row r="243">
      <c r="A243" s="46"/>
      <c r="B243" s="35"/>
      <c r="C243" s="81"/>
      <c r="D243" s="66"/>
      <c r="E243" s="77"/>
      <c r="F243" s="37"/>
      <c r="G243" s="40"/>
      <c r="H243" s="41"/>
      <c r="I243" s="42"/>
      <c r="J243" s="43"/>
      <c r="K243" s="66"/>
    </row>
    <row r="244">
      <c r="A244" s="46"/>
      <c r="B244" s="35"/>
      <c r="C244" s="81"/>
      <c r="D244" s="66"/>
      <c r="E244" s="77"/>
      <c r="F244" s="37"/>
      <c r="G244" s="40"/>
      <c r="H244" s="41"/>
      <c r="I244" s="42"/>
      <c r="J244" s="43"/>
      <c r="K244" s="75"/>
    </row>
    <row r="245">
      <c r="A245" s="46"/>
      <c r="B245" s="35"/>
      <c r="C245" s="81"/>
      <c r="D245" s="66"/>
      <c r="E245" s="77"/>
      <c r="F245" s="37"/>
      <c r="G245" s="40"/>
      <c r="H245" s="41"/>
      <c r="I245" s="42"/>
      <c r="J245" s="43"/>
      <c r="K245" s="66"/>
    </row>
    <row r="246">
      <c r="A246" s="46"/>
      <c r="B246" s="35"/>
      <c r="C246" s="81"/>
      <c r="D246" s="66"/>
      <c r="E246" s="77"/>
      <c r="F246" s="37"/>
      <c r="G246" s="40"/>
      <c r="H246" s="41"/>
      <c r="I246" s="42"/>
      <c r="J246" s="43"/>
      <c r="K246" s="66"/>
    </row>
    <row r="247">
      <c r="A247" s="46"/>
      <c r="B247" s="35"/>
      <c r="C247" s="82"/>
      <c r="D247" s="66"/>
      <c r="E247" s="77"/>
      <c r="F247" s="37"/>
      <c r="G247" s="40"/>
      <c r="H247" s="41"/>
      <c r="I247" s="42"/>
      <c r="J247" s="43"/>
      <c r="K247" s="66"/>
    </row>
    <row r="248">
      <c r="A248" s="46"/>
      <c r="B248" s="35"/>
      <c r="C248" s="81"/>
      <c r="D248" s="66"/>
      <c r="E248" s="77"/>
      <c r="F248" s="37"/>
      <c r="G248" s="40"/>
      <c r="H248" s="41"/>
      <c r="I248" s="42"/>
      <c r="J248" s="43"/>
      <c r="K248" s="66"/>
    </row>
    <row r="249">
      <c r="A249" s="46"/>
      <c r="B249" s="35"/>
      <c r="C249" s="81"/>
      <c r="D249" s="66"/>
      <c r="E249" s="77"/>
      <c r="F249" s="37"/>
      <c r="G249" s="40"/>
      <c r="H249" s="41"/>
      <c r="I249" s="42"/>
      <c r="J249" s="43"/>
      <c r="K249" s="66"/>
    </row>
    <row r="250">
      <c r="A250" s="46"/>
      <c r="B250" s="35"/>
      <c r="C250" s="81"/>
      <c r="D250" s="66"/>
      <c r="E250" s="77"/>
      <c r="F250" s="37"/>
      <c r="G250" s="40"/>
      <c r="H250" s="41"/>
      <c r="I250" s="42"/>
      <c r="J250" s="43"/>
      <c r="K250" s="66"/>
    </row>
    <row r="251">
      <c r="A251" s="46"/>
      <c r="B251" s="35"/>
      <c r="C251" s="81"/>
      <c r="D251" s="66"/>
      <c r="E251" s="77"/>
      <c r="F251" s="37"/>
      <c r="G251" s="40"/>
      <c r="H251" s="41"/>
      <c r="I251" s="42"/>
      <c r="J251" s="43"/>
      <c r="K251" s="66"/>
    </row>
    <row r="252">
      <c r="A252" s="46"/>
      <c r="B252" s="35"/>
      <c r="C252" s="81"/>
      <c r="D252" s="66"/>
      <c r="E252" s="77"/>
      <c r="F252" s="37"/>
      <c r="G252" s="40"/>
      <c r="H252" s="41"/>
      <c r="I252" s="42"/>
      <c r="J252" s="43"/>
      <c r="K252" s="66"/>
    </row>
    <row r="253">
      <c r="A253" s="11"/>
      <c r="B253" s="58"/>
      <c r="C253" s="59"/>
      <c r="D253" s="60"/>
      <c r="E253" s="83"/>
      <c r="F253" s="60"/>
      <c r="G253" s="40"/>
      <c r="H253" s="84"/>
      <c r="I253" s="85"/>
      <c r="J253" s="43"/>
      <c r="K253" s="60"/>
    </row>
    <row r="254">
      <c r="A254" s="11"/>
      <c r="B254" s="58"/>
      <c r="C254" s="59"/>
      <c r="D254" s="60"/>
      <c r="E254" s="61"/>
      <c r="F254" s="60"/>
      <c r="G254" s="40"/>
      <c r="H254" s="41"/>
      <c r="I254" s="42"/>
      <c r="J254" s="43"/>
      <c r="K254" s="60"/>
    </row>
    <row r="255">
      <c r="A255" s="11"/>
      <c r="B255" s="58"/>
      <c r="C255" s="86"/>
      <c r="D255" s="60"/>
      <c r="E255" s="87"/>
      <c r="F255" s="60"/>
      <c r="G255" s="40"/>
      <c r="H255" s="84"/>
      <c r="I255" s="85"/>
      <c r="J255" s="43"/>
      <c r="K255" s="60"/>
    </row>
    <row r="256">
      <c r="A256" s="11"/>
      <c r="B256" s="58"/>
      <c r="C256" s="59"/>
      <c r="D256" s="60"/>
      <c r="E256" s="61"/>
      <c r="F256" s="60"/>
      <c r="G256" s="40"/>
      <c r="H256" s="41"/>
      <c r="I256" s="42"/>
      <c r="J256" s="43"/>
      <c r="K256" s="60"/>
    </row>
    <row r="257">
      <c r="A257" s="11"/>
      <c r="B257" s="58"/>
      <c r="C257" s="59"/>
      <c r="D257" s="60"/>
      <c r="E257" s="83"/>
      <c r="F257" s="60"/>
      <c r="G257" s="40"/>
      <c r="H257" s="84"/>
      <c r="I257" s="85"/>
      <c r="J257" s="43"/>
      <c r="K257" s="60"/>
    </row>
    <row r="258">
      <c r="A258" s="46"/>
      <c r="B258" s="35"/>
      <c r="C258" s="81"/>
      <c r="D258" s="66"/>
      <c r="E258" s="88"/>
      <c r="F258" s="37"/>
      <c r="G258" s="40"/>
      <c r="H258" s="84"/>
      <c r="I258" s="85"/>
      <c r="J258" s="43"/>
      <c r="K258" s="66"/>
    </row>
    <row r="259">
      <c r="A259" s="46"/>
      <c r="B259" s="35"/>
      <c r="C259" s="89"/>
      <c r="D259" s="66"/>
      <c r="E259" s="88"/>
      <c r="F259" s="37"/>
      <c r="G259" s="40"/>
      <c r="H259" s="84"/>
      <c r="I259" s="85"/>
      <c r="J259" s="43"/>
      <c r="K259" s="66"/>
    </row>
    <row r="260">
      <c r="A260" s="46"/>
      <c r="B260" s="35"/>
      <c r="C260" s="81"/>
      <c r="D260" s="66"/>
      <c r="E260" s="88"/>
      <c r="F260" s="37"/>
      <c r="G260" s="40"/>
      <c r="H260" s="84"/>
      <c r="I260" s="85"/>
      <c r="J260" s="43"/>
      <c r="K260" s="66"/>
    </row>
    <row r="261">
      <c r="A261" s="46"/>
      <c r="B261" s="35"/>
      <c r="C261" s="81"/>
      <c r="D261" s="66"/>
      <c r="E261" s="88"/>
      <c r="F261" s="37"/>
      <c r="G261" s="40"/>
      <c r="H261" s="84"/>
      <c r="I261" s="85"/>
      <c r="J261" s="43"/>
      <c r="K261" s="66"/>
    </row>
    <row r="262">
      <c r="A262" s="46"/>
      <c r="B262" s="35"/>
      <c r="C262" s="81"/>
      <c r="D262" s="66"/>
      <c r="E262" s="90"/>
      <c r="F262" s="37"/>
      <c r="G262" s="40"/>
      <c r="H262" s="91"/>
      <c r="I262" s="92"/>
      <c r="J262" s="43"/>
      <c r="K262" s="66"/>
    </row>
    <row r="263">
      <c r="A263" s="46"/>
      <c r="B263" s="35"/>
      <c r="C263" s="81"/>
      <c r="D263" s="66"/>
      <c r="E263" s="88"/>
      <c r="F263" s="37"/>
      <c r="G263" s="40"/>
      <c r="H263" s="91"/>
      <c r="I263" s="92"/>
      <c r="J263" s="43"/>
      <c r="K263" s="66"/>
    </row>
    <row r="264">
      <c r="A264" s="46"/>
      <c r="B264" s="35"/>
      <c r="C264" s="81"/>
      <c r="D264" s="66"/>
      <c r="E264" s="88"/>
      <c r="F264" s="37"/>
      <c r="G264" s="40"/>
      <c r="H264" s="91"/>
      <c r="I264" s="92"/>
      <c r="J264" s="43"/>
      <c r="K264" s="66"/>
    </row>
    <row r="265">
      <c r="A265" s="46"/>
      <c r="B265" s="35"/>
      <c r="C265" s="81"/>
      <c r="D265" s="66"/>
      <c r="E265" s="88"/>
      <c r="F265" s="37"/>
      <c r="G265" s="40"/>
      <c r="H265" s="91"/>
      <c r="I265" s="92"/>
      <c r="J265" s="43"/>
      <c r="K265" s="66"/>
    </row>
    <row r="266">
      <c r="A266" s="46"/>
      <c r="B266" s="35"/>
      <c r="C266" s="81"/>
      <c r="D266" s="66"/>
      <c r="E266" s="88"/>
      <c r="F266" s="37"/>
      <c r="G266" s="40"/>
      <c r="H266" s="84"/>
      <c r="I266" s="85"/>
      <c r="J266" s="43"/>
      <c r="K266" s="66"/>
    </row>
    <row r="267">
      <c r="A267" s="46"/>
      <c r="B267" s="35"/>
      <c r="C267" s="81"/>
      <c r="D267" s="66"/>
      <c r="E267" s="88"/>
      <c r="F267" s="37"/>
      <c r="G267" s="40"/>
      <c r="H267" s="84"/>
      <c r="I267" s="85"/>
      <c r="J267" s="43"/>
      <c r="K267" s="66"/>
    </row>
    <row r="268">
      <c r="A268" s="46"/>
      <c r="B268" s="35"/>
      <c r="C268" s="81"/>
      <c r="D268" s="66"/>
      <c r="E268" s="88"/>
      <c r="F268" s="37"/>
      <c r="G268" s="40"/>
      <c r="H268" s="84"/>
      <c r="I268" s="85"/>
      <c r="J268" s="43"/>
      <c r="K268" s="66"/>
    </row>
    <row r="269">
      <c r="A269" s="46"/>
      <c r="B269" s="35"/>
      <c r="C269" s="81"/>
      <c r="D269" s="66"/>
      <c r="E269" s="88"/>
      <c r="F269" s="37"/>
      <c r="G269" s="40"/>
      <c r="H269" s="84"/>
      <c r="I269" s="85"/>
      <c r="J269" s="43"/>
      <c r="K269" s="66"/>
    </row>
    <row r="270">
      <c r="A270" s="46"/>
      <c r="B270" s="35"/>
      <c r="C270" s="81"/>
      <c r="D270" s="66"/>
      <c r="E270" s="88"/>
      <c r="F270" s="37"/>
      <c r="G270" s="40"/>
      <c r="H270" s="84"/>
      <c r="I270" s="85"/>
      <c r="J270" s="43"/>
      <c r="K270" s="66"/>
    </row>
    <row r="271">
      <c r="A271" s="46"/>
      <c r="B271" s="35"/>
      <c r="C271" s="81"/>
      <c r="D271" s="66"/>
      <c r="E271" s="88"/>
      <c r="F271" s="37"/>
      <c r="G271" s="40"/>
      <c r="H271" s="84"/>
      <c r="I271" s="85"/>
      <c r="J271" s="43"/>
      <c r="K271" s="66"/>
    </row>
    <row r="272">
      <c r="A272" s="46"/>
      <c r="B272" s="35"/>
      <c r="C272" s="81"/>
      <c r="D272" s="66"/>
      <c r="E272" s="88"/>
      <c r="F272" s="37"/>
      <c r="G272" s="40"/>
      <c r="H272" s="84"/>
      <c r="I272" s="85"/>
      <c r="J272" s="43"/>
      <c r="K272" s="66"/>
    </row>
    <row r="273">
      <c r="A273" s="46"/>
      <c r="B273" s="35"/>
      <c r="C273" s="81"/>
      <c r="D273" s="66"/>
      <c r="E273" s="88"/>
      <c r="F273" s="37"/>
      <c r="G273" s="40"/>
      <c r="H273" s="84"/>
      <c r="I273" s="85"/>
      <c r="J273" s="43"/>
      <c r="K273" s="66"/>
    </row>
    <row r="274">
      <c r="A274" s="46"/>
      <c r="B274" s="35"/>
      <c r="C274" s="81"/>
      <c r="D274" s="66"/>
      <c r="E274" s="88"/>
      <c r="F274" s="37"/>
      <c r="G274" s="40"/>
      <c r="H274" s="84"/>
      <c r="I274" s="85"/>
      <c r="J274" s="43"/>
      <c r="K274" s="66"/>
    </row>
    <row r="275">
      <c r="A275" s="46"/>
      <c r="B275" s="35"/>
      <c r="C275" s="81"/>
      <c r="D275" s="66"/>
      <c r="E275" s="77"/>
      <c r="F275" s="37"/>
      <c r="G275" s="40"/>
      <c r="H275" s="41"/>
      <c r="I275" s="42"/>
      <c r="J275" s="43"/>
      <c r="K275" s="66"/>
    </row>
    <row r="276">
      <c r="A276" s="46"/>
      <c r="B276" s="35"/>
      <c r="C276" s="81"/>
      <c r="D276" s="66"/>
      <c r="E276" s="88"/>
      <c r="F276" s="37"/>
      <c r="G276" s="40"/>
      <c r="H276" s="84"/>
      <c r="I276" s="85"/>
      <c r="J276" s="43"/>
      <c r="K276" s="66"/>
    </row>
    <row r="277">
      <c r="A277" s="46"/>
      <c r="B277" s="35"/>
      <c r="C277" s="81"/>
      <c r="D277" s="66"/>
      <c r="E277" s="88"/>
      <c r="F277" s="37"/>
      <c r="G277" s="40"/>
      <c r="H277" s="84"/>
      <c r="I277" s="85"/>
      <c r="J277" s="43"/>
      <c r="K277" s="66"/>
    </row>
    <row r="278">
      <c r="A278" s="46"/>
      <c r="B278" s="35"/>
      <c r="C278" s="89"/>
      <c r="D278" s="66"/>
      <c r="E278" s="88"/>
      <c r="F278" s="37"/>
      <c r="G278" s="40"/>
      <c r="H278" s="84"/>
      <c r="I278" s="85"/>
      <c r="J278" s="43"/>
      <c r="K278" s="66"/>
    </row>
    <row r="279">
      <c r="A279" s="46"/>
      <c r="B279" s="35"/>
      <c r="C279" s="89"/>
      <c r="D279" s="66"/>
      <c r="E279" s="88"/>
      <c r="F279" s="37"/>
      <c r="G279" s="40"/>
      <c r="H279" s="84"/>
      <c r="I279" s="85"/>
      <c r="J279" s="43"/>
      <c r="K279" s="66"/>
    </row>
    <row r="280">
      <c r="A280" s="46"/>
      <c r="B280" s="35"/>
      <c r="C280" s="81"/>
      <c r="D280" s="66"/>
      <c r="E280" s="88"/>
      <c r="F280" s="37"/>
      <c r="G280" s="40"/>
      <c r="H280" s="91"/>
      <c r="I280" s="92"/>
      <c r="J280" s="43"/>
      <c r="K280" s="66"/>
    </row>
    <row r="281">
      <c r="A281" s="46"/>
      <c r="B281" s="35"/>
      <c r="C281" s="81"/>
      <c r="D281" s="66"/>
      <c r="E281" s="88"/>
      <c r="F281" s="37"/>
      <c r="G281" s="40"/>
      <c r="H281" s="91"/>
      <c r="I281" s="92"/>
      <c r="J281" s="43"/>
      <c r="K281" s="66"/>
    </row>
    <row r="282">
      <c r="A282" s="46"/>
      <c r="B282" s="35"/>
      <c r="C282" s="81"/>
      <c r="D282" s="66"/>
      <c r="E282" s="88"/>
      <c r="F282" s="37"/>
      <c r="G282" s="40"/>
      <c r="H282" s="84"/>
      <c r="I282" s="85"/>
      <c r="J282" s="43"/>
      <c r="K282" s="66"/>
    </row>
    <row r="283">
      <c r="A283" s="46"/>
      <c r="B283" s="35"/>
      <c r="C283" s="89"/>
      <c r="D283" s="66"/>
      <c r="E283" s="88"/>
      <c r="F283" s="37"/>
      <c r="G283" s="40"/>
      <c r="H283" s="84"/>
      <c r="I283" s="85"/>
      <c r="J283" s="43"/>
      <c r="K283" s="66"/>
    </row>
    <row r="284">
      <c r="A284" s="46"/>
      <c r="B284" s="35"/>
      <c r="C284" s="89"/>
      <c r="D284" s="66"/>
      <c r="E284" s="88"/>
      <c r="F284" s="37"/>
      <c r="G284" s="40"/>
      <c r="H284" s="84"/>
      <c r="I284" s="85"/>
      <c r="J284" s="43"/>
      <c r="K284" s="66"/>
    </row>
    <row r="285">
      <c r="A285" s="46"/>
      <c r="B285" s="35"/>
      <c r="C285" s="89"/>
      <c r="D285" s="66"/>
      <c r="E285" s="88"/>
      <c r="F285" s="37"/>
      <c r="G285" s="40"/>
      <c r="H285" s="84"/>
      <c r="I285" s="85"/>
      <c r="J285" s="43"/>
      <c r="K285" s="66"/>
    </row>
    <row r="286">
      <c r="A286" s="46"/>
      <c r="B286" s="35"/>
      <c r="C286" s="81"/>
      <c r="D286" s="66"/>
      <c r="E286" s="88"/>
      <c r="F286" s="66"/>
      <c r="G286" s="40"/>
      <c r="H286" s="84"/>
      <c r="I286" s="85"/>
      <c r="J286" s="43"/>
      <c r="K286" s="66"/>
    </row>
    <row r="287">
      <c r="A287" s="46"/>
      <c r="B287" s="35"/>
      <c r="C287" s="89"/>
      <c r="D287" s="66"/>
      <c r="E287" s="93"/>
      <c r="F287" s="66"/>
      <c r="G287" s="40"/>
      <c r="H287" s="84"/>
      <c r="I287" s="85"/>
      <c r="J287" s="43"/>
      <c r="K287" s="66"/>
    </row>
    <row r="288">
      <c r="A288" s="46"/>
      <c r="B288" s="35"/>
      <c r="C288" s="89"/>
      <c r="D288" s="66"/>
      <c r="E288" s="93"/>
      <c r="F288" s="66"/>
      <c r="G288" s="40"/>
      <c r="H288" s="84"/>
      <c r="I288" s="85"/>
      <c r="J288" s="43"/>
      <c r="K288" s="66"/>
    </row>
    <row r="289">
      <c r="A289" s="46"/>
      <c r="B289" s="35"/>
      <c r="C289" s="81"/>
      <c r="D289" s="66"/>
      <c r="E289" s="88"/>
      <c r="F289" s="37"/>
      <c r="G289" s="40"/>
      <c r="H289" s="84"/>
      <c r="I289" s="85"/>
      <c r="J289" s="43"/>
      <c r="K289" s="66"/>
    </row>
    <row r="290">
      <c r="A290" s="46"/>
      <c r="B290" s="35"/>
      <c r="C290" s="81"/>
      <c r="D290" s="66"/>
      <c r="E290" s="88"/>
      <c r="F290" s="37"/>
      <c r="G290" s="40"/>
      <c r="H290" s="84"/>
      <c r="I290" s="85"/>
      <c r="J290" s="43"/>
      <c r="K290" s="66"/>
    </row>
    <row r="291">
      <c r="A291" s="46"/>
      <c r="B291" s="35"/>
      <c r="C291" s="81"/>
      <c r="D291" s="66"/>
      <c r="E291" s="88"/>
      <c r="F291" s="37"/>
      <c r="G291" s="40"/>
      <c r="H291" s="84"/>
      <c r="I291" s="85"/>
      <c r="J291" s="43"/>
      <c r="K291" s="66"/>
    </row>
    <row r="292">
      <c r="A292" s="46"/>
      <c r="B292" s="35"/>
      <c r="C292" s="81"/>
      <c r="D292" s="66"/>
      <c r="E292" s="88"/>
      <c r="F292" s="37"/>
      <c r="G292" s="40"/>
      <c r="H292" s="84"/>
      <c r="I292" s="85"/>
      <c r="J292" s="43"/>
      <c r="K292" s="66"/>
    </row>
    <row r="293">
      <c r="A293" s="46"/>
      <c r="B293" s="35"/>
      <c r="C293" s="81"/>
      <c r="D293" s="66"/>
      <c r="E293" s="88"/>
      <c r="F293" s="37"/>
      <c r="G293" s="40"/>
      <c r="H293" s="84"/>
      <c r="I293" s="85"/>
      <c r="J293" s="43"/>
      <c r="K293" s="66"/>
    </row>
    <row r="294">
      <c r="A294" s="46"/>
      <c r="B294" s="35"/>
      <c r="C294" s="81"/>
      <c r="D294" s="66"/>
      <c r="E294" s="88"/>
      <c r="F294" s="66"/>
      <c r="G294" s="40"/>
      <c r="H294" s="84"/>
      <c r="I294" s="85"/>
      <c r="J294" s="43"/>
      <c r="K294" s="66"/>
    </row>
    <row r="295">
      <c r="A295" s="46"/>
      <c r="B295" s="35"/>
      <c r="C295" s="81"/>
      <c r="D295" s="66"/>
      <c r="E295" s="88"/>
      <c r="F295" s="66"/>
      <c r="G295" s="40"/>
      <c r="H295" s="84"/>
      <c r="I295" s="85"/>
      <c r="J295" s="43"/>
      <c r="K295" s="66"/>
    </row>
    <row r="296">
      <c r="A296" s="46"/>
      <c r="B296" s="35"/>
      <c r="C296" s="81"/>
      <c r="D296" s="66"/>
      <c r="E296" s="88"/>
      <c r="F296" s="66"/>
      <c r="G296" s="40"/>
      <c r="H296" s="84"/>
      <c r="I296" s="85"/>
      <c r="J296" s="43"/>
      <c r="K296" s="66"/>
    </row>
    <row r="297">
      <c r="A297" s="46"/>
      <c r="B297" s="35"/>
      <c r="C297" s="81"/>
      <c r="D297" s="66"/>
      <c r="E297" s="88"/>
      <c r="F297" s="66"/>
      <c r="G297" s="40"/>
      <c r="H297" s="84"/>
      <c r="I297" s="85"/>
      <c r="J297" s="43"/>
      <c r="K297" s="66"/>
    </row>
    <row r="298">
      <c r="A298" s="46"/>
      <c r="B298" s="35"/>
      <c r="C298" s="81"/>
      <c r="D298" s="66"/>
      <c r="E298" s="88"/>
      <c r="F298" s="66"/>
      <c r="G298" s="40"/>
      <c r="H298" s="84"/>
      <c r="I298" s="85"/>
      <c r="J298" s="43"/>
      <c r="K298" s="66"/>
    </row>
    <row r="299">
      <c r="A299" s="46"/>
      <c r="B299" s="35"/>
      <c r="C299" s="81"/>
      <c r="D299" s="66"/>
      <c r="E299" s="88"/>
      <c r="F299" s="66"/>
      <c r="G299" s="40"/>
      <c r="H299" s="84"/>
      <c r="I299" s="85"/>
      <c r="J299" s="43"/>
      <c r="K299" s="66"/>
    </row>
    <row r="300">
      <c r="A300" s="46"/>
      <c r="B300" s="35"/>
      <c r="C300" s="81"/>
      <c r="D300" s="66"/>
      <c r="E300" s="88"/>
      <c r="F300" s="66"/>
      <c r="G300" s="40"/>
      <c r="H300" s="84"/>
      <c r="I300" s="85"/>
      <c r="J300" s="43"/>
      <c r="K300" s="66"/>
    </row>
    <row r="301">
      <c r="A301" s="46"/>
      <c r="B301" s="35"/>
      <c r="C301" s="81"/>
      <c r="D301" s="66"/>
      <c r="E301" s="94"/>
      <c r="F301" s="66"/>
      <c r="G301" s="40"/>
      <c r="H301" s="95"/>
      <c r="I301" s="96"/>
      <c r="J301" s="43"/>
      <c r="K301" s="66"/>
    </row>
    <row r="302">
      <c r="A302" s="46"/>
      <c r="B302" s="35"/>
      <c r="C302" s="81"/>
      <c r="D302" s="66"/>
      <c r="E302" s="94"/>
      <c r="F302" s="66"/>
      <c r="G302" s="40"/>
      <c r="H302" s="95"/>
      <c r="I302" s="96"/>
      <c r="J302" s="43"/>
      <c r="K302" s="66"/>
    </row>
    <row r="303">
      <c r="A303" s="46"/>
      <c r="B303" s="35"/>
      <c r="C303" s="81"/>
      <c r="D303" s="66"/>
      <c r="E303" s="88"/>
      <c r="F303" s="66"/>
      <c r="G303" s="40"/>
      <c r="H303" s="84"/>
      <c r="I303" s="85"/>
      <c r="J303" s="43"/>
      <c r="K303" s="66"/>
    </row>
    <row r="304">
      <c r="A304" s="46"/>
      <c r="B304" s="35"/>
      <c r="C304" s="81"/>
      <c r="D304" s="66"/>
      <c r="E304" s="88"/>
      <c r="F304" s="66"/>
      <c r="G304" s="40"/>
      <c r="H304" s="84"/>
      <c r="I304" s="85"/>
      <c r="J304" s="43"/>
      <c r="K304" s="66"/>
    </row>
    <row r="305">
      <c r="A305" s="46"/>
      <c r="B305" s="35"/>
      <c r="C305" s="81"/>
      <c r="D305" s="66"/>
      <c r="E305" s="88"/>
      <c r="F305" s="66"/>
      <c r="G305" s="40"/>
      <c r="H305" s="84"/>
      <c r="I305" s="85"/>
      <c r="J305" s="43"/>
      <c r="K305" s="66"/>
    </row>
    <row r="306">
      <c r="A306" s="46"/>
      <c r="B306" s="35"/>
      <c r="C306" s="81"/>
      <c r="D306" s="66"/>
      <c r="E306" s="88"/>
      <c r="F306" s="66"/>
      <c r="G306" s="40"/>
      <c r="H306" s="84"/>
      <c r="I306" s="85"/>
      <c r="J306" s="43"/>
      <c r="K306" s="66"/>
    </row>
    <row r="307">
      <c r="A307" s="46"/>
      <c r="B307" s="35"/>
      <c r="C307" s="81"/>
      <c r="D307" s="66"/>
      <c r="E307" s="88"/>
      <c r="F307" s="66"/>
      <c r="G307" s="40"/>
      <c r="H307" s="84"/>
      <c r="I307" s="85"/>
      <c r="J307" s="43"/>
      <c r="K307" s="66"/>
    </row>
    <row r="308">
      <c r="A308" s="46"/>
      <c r="B308" s="35"/>
      <c r="C308" s="81"/>
      <c r="D308" s="66"/>
      <c r="E308" s="88"/>
      <c r="F308" s="66"/>
      <c r="G308" s="40"/>
      <c r="H308" s="84"/>
      <c r="I308" s="85"/>
      <c r="J308" s="43"/>
      <c r="K308" s="66"/>
    </row>
    <row r="309">
      <c r="A309" s="46"/>
      <c r="B309" s="35"/>
      <c r="C309" s="81"/>
      <c r="D309" s="66"/>
      <c r="E309" s="88"/>
      <c r="F309" s="66"/>
      <c r="G309" s="40"/>
      <c r="H309" s="84"/>
      <c r="I309" s="85"/>
      <c r="J309" s="43"/>
      <c r="K309" s="66"/>
    </row>
    <row r="310">
      <c r="A310" s="46"/>
      <c r="B310" s="35"/>
      <c r="C310" s="81"/>
      <c r="D310" s="66"/>
      <c r="E310" s="88"/>
      <c r="F310" s="66"/>
      <c r="G310" s="40"/>
      <c r="H310" s="84"/>
      <c r="I310" s="85"/>
      <c r="J310" s="43"/>
      <c r="K310" s="66"/>
    </row>
    <row r="311">
      <c r="A311" s="46"/>
      <c r="B311" s="35"/>
      <c r="C311" s="81"/>
      <c r="D311" s="66"/>
      <c r="E311" s="88"/>
      <c r="F311" s="66"/>
      <c r="G311" s="40"/>
      <c r="H311" s="84"/>
      <c r="I311" s="85"/>
      <c r="J311" s="43"/>
      <c r="K311" s="66"/>
    </row>
    <row r="312">
      <c r="A312" s="97"/>
      <c r="B312" s="35"/>
      <c r="C312" s="81"/>
      <c r="D312" s="98"/>
      <c r="E312" s="99"/>
      <c r="F312" s="98"/>
      <c r="G312" s="40"/>
      <c r="H312" s="100"/>
      <c r="I312" s="101"/>
      <c r="J312" s="43"/>
      <c r="K312" s="98"/>
    </row>
    <row r="313">
      <c r="A313" s="97"/>
      <c r="B313" s="35"/>
      <c r="C313" s="81"/>
      <c r="D313" s="98"/>
      <c r="E313" s="99"/>
      <c r="F313" s="98"/>
      <c r="G313" s="40"/>
      <c r="H313" s="84"/>
      <c r="I313" s="85"/>
      <c r="J313" s="43"/>
      <c r="K313" s="98"/>
    </row>
    <row r="314">
      <c r="A314" s="97"/>
      <c r="B314" s="35"/>
      <c r="C314" s="81"/>
      <c r="D314" s="98"/>
      <c r="E314" s="99"/>
      <c r="F314" s="98"/>
      <c r="G314" s="40"/>
      <c r="H314" s="84"/>
      <c r="I314" s="85"/>
      <c r="J314" s="43"/>
      <c r="K314" s="98"/>
    </row>
    <row r="315">
      <c r="A315" s="97"/>
      <c r="B315" s="35"/>
      <c r="C315" s="81"/>
      <c r="D315" s="98"/>
      <c r="E315" s="99"/>
      <c r="F315" s="98"/>
      <c r="G315" s="40"/>
      <c r="H315" s="84"/>
      <c r="I315" s="85"/>
      <c r="J315" s="43"/>
      <c r="K315" s="98"/>
    </row>
    <row r="316">
      <c r="A316" s="97"/>
      <c r="B316" s="35"/>
      <c r="C316" s="81"/>
      <c r="D316" s="98"/>
      <c r="E316" s="99"/>
      <c r="F316" s="98"/>
      <c r="G316" s="40"/>
      <c r="H316" s="84"/>
      <c r="I316" s="85"/>
      <c r="J316" s="43"/>
      <c r="K316" s="98"/>
    </row>
    <row r="317">
      <c r="A317" s="97"/>
      <c r="B317" s="35"/>
      <c r="C317" s="81"/>
      <c r="D317" s="98"/>
      <c r="E317" s="99"/>
      <c r="F317" s="98"/>
      <c r="G317" s="40"/>
      <c r="H317" s="84"/>
      <c r="I317" s="85"/>
      <c r="J317" s="43"/>
      <c r="K317" s="98"/>
    </row>
    <row r="318">
      <c r="A318" s="97"/>
      <c r="B318" s="35"/>
      <c r="C318" s="81"/>
      <c r="D318" s="98"/>
      <c r="E318" s="99"/>
      <c r="F318" s="98"/>
      <c r="G318" s="40"/>
      <c r="H318" s="84"/>
      <c r="I318" s="85"/>
      <c r="J318" s="43"/>
      <c r="K318" s="98"/>
    </row>
    <row r="319">
      <c r="A319" s="97"/>
      <c r="B319" s="35"/>
      <c r="C319" s="81"/>
      <c r="D319" s="98"/>
      <c r="E319" s="99"/>
      <c r="F319" s="98"/>
      <c r="G319" s="40"/>
      <c r="H319" s="84"/>
      <c r="I319" s="85"/>
      <c r="J319" s="43"/>
      <c r="K319" s="98"/>
    </row>
    <row r="320">
      <c r="A320" s="97"/>
      <c r="B320" s="35"/>
      <c r="C320" s="81"/>
      <c r="D320" s="98"/>
      <c r="E320" s="99"/>
      <c r="F320" s="98"/>
      <c r="G320" s="40"/>
      <c r="H320" s="84"/>
      <c r="I320" s="85"/>
      <c r="J320" s="43"/>
      <c r="K320" s="98"/>
    </row>
    <row r="321">
      <c r="A321" s="97"/>
      <c r="B321" s="35"/>
      <c r="C321" s="81"/>
      <c r="D321" s="98"/>
      <c r="E321" s="99"/>
      <c r="F321" s="98"/>
      <c r="G321" s="40"/>
      <c r="H321" s="84"/>
      <c r="I321" s="85"/>
      <c r="J321" s="43"/>
      <c r="K321" s="98"/>
    </row>
    <row r="322">
      <c r="A322" s="97"/>
      <c r="B322" s="35"/>
      <c r="C322" s="81"/>
      <c r="D322" s="98"/>
      <c r="E322" s="99"/>
      <c r="F322" s="98"/>
      <c r="G322" s="40"/>
      <c r="H322" s="84"/>
      <c r="I322" s="85"/>
      <c r="J322" s="43"/>
      <c r="K322" s="98"/>
    </row>
    <row r="323">
      <c r="A323" s="97"/>
      <c r="B323" s="35"/>
      <c r="C323" s="81">
        <v>45322.0</v>
      </c>
      <c r="D323" s="98"/>
      <c r="E323" s="102"/>
      <c r="F323" s="98"/>
      <c r="G323" s="40"/>
      <c r="H323" s="91"/>
      <c r="I323" s="92"/>
      <c r="J323" s="43"/>
      <c r="K323" s="98"/>
    </row>
    <row r="324">
      <c r="A324" s="97"/>
      <c r="B324" s="35"/>
      <c r="C324" s="81">
        <v>45322.0</v>
      </c>
      <c r="D324" s="98"/>
      <c r="E324" s="102"/>
      <c r="F324" s="98"/>
      <c r="G324" s="40"/>
      <c r="H324" s="91"/>
      <c r="I324" s="92"/>
      <c r="J324" s="43"/>
      <c r="K324" s="98"/>
    </row>
    <row r="325">
      <c r="A325" s="97"/>
      <c r="B325" s="35"/>
      <c r="C325" s="81">
        <v>45322.0</v>
      </c>
      <c r="D325" s="98"/>
      <c r="E325" s="102"/>
      <c r="F325" s="98"/>
      <c r="G325" s="40"/>
      <c r="H325" s="91"/>
      <c r="I325" s="92"/>
      <c r="J325" s="43"/>
      <c r="K325" s="98"/>
    </row>
    <row r="326">
      <c r="A326" s="97"/>
      <c r="B326" s="35"/>
      <c r="C326" s="81">
        <v>45322.0</v>
      </c>
      <c r="D326" s="98"/>
      <c r="E326" s="102"/>
      <c r="F326" s="98"/>
      <c r="G326" s="40"/>
      <c r="H326" s="91"/>
      <c r="I326" s="92"/>
      <c r="J326" s="43"/>
      <c r="K326" s="98"/>
    </row>
    <row r="327">
      <c r="A327" s="97"/>
      <c r="B327" s="35"/>
      <c r="C327" s="81">
        <v>45322.0</v>
      </c>
      <c r="D327" s="98"/>
      <c r="E327" s="102"/>
      <c r="F327" s="98"/>
      <c r="G327" s="40"/>
      <c r="H327" s="91"/>
      <c r="I327" s="92"/>
      <c r="J327" s="43"/>
      <c r="K327" s="98"/>
    </row>
    <row r="328">
      <c r="A328" s="97"/>
      <c r="B328" s="35"/>
      <c r="C328" s="81">
        <v>45322.0</v>
      </c>
      <c r="D328" s="98"/>
      <c r="E328" s="102"/>
      <c r="F328" s="98"/>
      <c r="G328" s="40"/>
      <c r="H328" s="91"/>
      <c r="I328" s="92"/>
      <c r="J328" s="43"/>
      <c r="K328" s="98"/>
    </row>
    <row r="329">
      <c r="A329" s="97"/>
      <c r="B329" s="35"/>
      <c r="C329" s="81">
        <v>45322.0</v>
      </c>
      <c r="D329" s="98"/>
      <c r="E329" s="102"/>
      <c r="F329" s="98"/>
      <c r="G329" s="40"/>
      <c r="H329" s="91"/>
      <c r="I329" s="92"/>
      <c r="J329" s="43"/>
      <c r="K329" s="98"/>
    </row>
    <row r="330">
      <c r="A330" s="97"/>
      <c r="B330" s="35"/>
      <c r="C330" s="103"/>
      <c r="D330" s="98"/>
      <c r="E330" s="102"/>
      <c r="F330" s="98"/>
      <c r="G330" s="40"/>
      <c r="H330" s="91"/>
      <c r="I330" s="92"/>
      <c r="J330" s="43"/>
      <c r="K330" s="98"/>
    </row>
    <row r="331">
      <c r="A331" s="46"/>
      <c r="B331" s="35"/>
      <c r="C331" s="103"/>
      <c r="D331" s="66"/>
      <c r="E331" s="93"/>
      <c r="F331" s="66"/>
      <c r="G331" s="40"/>
      <c r="H331" s="91"/>
      <c r="I331" s="92"/>
      <c r="J331" s="43"/>
      <c r="K331" s="66"/>
    </row>
    <row r="332">
      <c r="A332" s="46"/>
      <c r="B332" s="35"/>
      <c r="C332" s="103"/>
      <c r="D332" s="66"/>
      <c r="E332" s="93"/>
      <c r="F332" s="66"/>
      <c r="G332" s="40"/>
      <c r="H332" s="91"/>
      <c r="I332" s="92"/>
      <c r="J332" s="43"/>
      <c r="K332" s="66"/>
    </row>
    <row r="333">
      <c r="A333" s="46"/>
      <c r="B333" s="35"/>
      <c r="C333" s="103"/>
      <c r="D333" s="66"/>
      <c r="E333" s="93"/>
      <c r="F333" s="66"/>
      <c r="G333" s="40"/>
      <c r="H333" s="91"/>
      <c r="I333" s="92"/>
      <c r="J333" s="43"/>
      <c r="K333" s="66"/>
    </row>
    <row r="334">
      <c r="A334" s="46"/>
      <c r="B334" s="35"/>
      <c r="C334" s="103"/>
      <c r="D334" s="66"/>
      <c r="E334" s="93"/>
      <c r="F334" s="66"/>
      <c r="G334" s="40"/>
      <c r="H334" s="91"/>
      <c r="I334" s="92"/>
      <c r="J334" s="43"/>
      <c r="K334" s="66"/>
    </row>
    <row r="335">
      <c r="A335" s="46"/>
      <c r="B335" s="35"/>
      <c r="C335" s="103"/>
      <c r="D335" s="66"/>
      <c r="E335" s="93"/>
      <c r="F335" s="66"/>
      <c r="G335" s="40"/>
      <c r="H335" s="91"/>
      <c r="I335" s="92"/>
      <c r="J335" s="43"/>
      <c r="K335" s="66"/>
    </row>
    <row r="336">
      <c r="A336" s="46"/>
      <c r="B336" s="35"/>
      <c r="C336" s="103"/>
      <c r="D336" s="66"/>
      <c r="E336" s="93"/>
      <c r="F336" s="66"/>
      <c r="G336" s="40"/>
      <c r="H336" s="91"/>
      <c r="I336" s="92"/>
      <c r="J336" s="43"/>
      <c r="K336" s="66"/>
    </row>
    <row r="337">
      <c r="A337" s="46"/>
      <c r="B337" s="35"/>
      <c r="C337" s="103"/>
      <c r="D337" s="66"/>
      <c r="E337" s="93"/>
      <c r="F337" s="66"/>
      <c r="G337" s="40"/>
      <c r="H337" s="91"/>
      <c r="I337" s="92"/>
      <c r="J337" s="43"/>
      <c r="K337" s="66"/>
    </row>
    <row r="338">
      <c r="A338" s="46"/>
      <c r="B338" s="35"/>
      <c r="C338" s="103"/>
      <c r="D338" s="66"/>
      <c r="E338" s="93"/>
      <c r="F338" s="66"/>
      <c r="G338" s="40"/>
      <c r="H338" s="91"/>
      <c r="I338" s="92"/>
      <c r="J338" s="43"/>
      <c r="K338" s="66"/>
    </row>
    <row r="339">
      <c r="A339" s="46"/>
      <c r="B339" s="35"/>
      <c r="C339" s="103"/>
      <c r="D339" s="66"/>
      <c r="E339" s="93"/>
      <c r="F339" s="66"/>
      <c r="G339" s="40"/>
      <c r="H339" s="91"/>
      <c r="I339" s="92"/>
      <c r="J339" s="43"/>
      <c r="K339" s="66"/>
    </row>
    <row r="340">
      <c r="A340" s="46"/>
      <c r="B340" s="35"/>
      <c r="C340" s="103"/>
      <c r="D340" s="66"/>
      <c r="E340" s="93"/>
      <c r="F340" s="66"/>
      <c r="G340" s="40"/>
      <c r="H340" s="91"/>
      <c r="I340" s="92"/>
      <c r="J340" s="43"/>
      <c r="K340" s="66"/>
    </row>
    <row r="341">
      <c r="A341" s="46"/>
      <c r="B341" s="35"/>
      <c r="C341" s="103"/>
      <c r="D341" s="66"/>
      <c r="E341" s="93"/>
      <c r="F341" s="66"/>
      <c r="G341" s="40"/>
      <c r="H341" s="91"/>
      <c r="I341" s="92"/>
      <c r="J341" s="43"/>
      <c r="K341" s="66"/>
    </row>
    <row r="342">
      <c r="A342" s="46"/>
      <c r="B342" s="35"/>
      <c r="C342" s="103"/>
      <c r="D342" s="66"/>
      <c r="E342" s="93"/>
      <c r="F342" s="66"/>
      <c r="G342" s="40"/>
      <c r="H342" s="91"/>
      <c r="I342" s="92"/>
      <c r="J342" s="43"/>
      <c r="K342" s="66"/>
    </row>
    <row r="343">
      <c r="A343" s="46"/>
      <c r="B343" s="35"/>
      <c r="C343" s="103"/>
      <c r="D343" s="66"/>
      <c r="E343" s="93"/>
      <c r="F343" s="66"/>
      <c r="G343" s="40"/>
      <c r="H343" s="91"/>
      <c r="I343" s="92"/>
      <c r="J343" s="43"/>
      <c r="K343" s="66"/>
    </row>
    <row r="344">
      <c r="A344" s="46"/>
      <c r="B344" s="35"/>
      <c r="C344" s="103"/>
      <c r="D344" s="66"/>
      <c r="E344" s="93"/>
      <c r="F344" s="66"/>
      <c r="G344" s="40"/>
      <c r="H344" s="91"/>
      <c r="I344" s="92"/>
      <c r="J344" s="43"/>
      <c r="K344" s="66"/>
    </row>
    <row r="345">
      <c r="A345" s="46"/>
      <c r="B345" s="35"/>
      <c r="C345" s="103"/>
      <c r="D345" s="66"/>
      <c r="E345" s="93"/>
      <c r="F345" s="66"/>
      <c r="G345" s="40"/>
      <c r="H345" s="91"/>
      <c r="I345" s="92"/>
      <c r="J345" s="43"/>
      <c r="K345" s="66"/>
    </row>
    <row r="346">
      <c r="A346" s="46"/>
      <c r="B346" s="35"/>
      <c r="C346" s="103"/>
      <c r="D346" s="66"/>
      <c r="E346" s="93"/>
      <c r="F346" s="66"/>
      <c r="G346" s="40"/>
      <c r="H346" s="91"/>
      <c r="I346" s="92"/>
      <c r="J346" s="43"/>
      <c r="K346" s="66"/>
    </row>
    <row r="347">
      <c r="A347" s="46"/>
      <c r="B347" s="35"/>
      <c r="C347" s="103"/>
      <c r="D347" s="66"/>
      <c r="E347" s="93"/>
      <c r="F347" s="66"/>
      <c r="G347" s="40"/>
      <c r="H347" s="91"/>
      <c r="I347" s="92"/>
      <c r="J347" s="43"/>
      <c r="K347" s="66"/>
    </row>
    <row r="348">
      <c r="A348" s="46"/>
      <c r="B348" s="35"/>
      <c r="C348" s="103"/>
      <c r="D348" s="66"/>
      <c r="E348" s="93"/>
      <c r="F348" s="66"/>
      <c r="G348" s="40"/>
      <c r="H348" s="91"/>
      <c r="I348" s="92"/>
      <c r="J348" s="43"/>
      <c r="K348" s="66"/>
    </row>
    <row r="349">
      <c r="A349" s="46"/>
      <c r="B349" s="35"/>
      <c r="C349" s="103"/>
      <c r="D349" s="66"/>
      <c r="E349" s="93"/>
      <c r="F349" s="66"/>
      <c r="G349" s="40"/>
      <c r="H349" s="91"/>
      <c r="I349" s="92"/>
      <c r="J349" s="43"/>
      <c r="K349" s="66"/>
    </row>
    <row r="350">
      <c r="A350" s="46"/>
      <c r="B350" s="35"/>
      <c r="C350" s="103"/>
      <c r="D350" s="66"/>
      <c r="E350" s="93"/>
      <c r="F350" s="66"/>
      <c r="G350" s="40"/>
      <c r="H350" s="91"/>
      <c r="I350" s="92"/>
      <c r="J350" s="43"/>
      <c r="K350" s="66"/>
    </row>
    <row r="351">
      <c r="A351" s="46"/>
      <c r="B351" s="35"/>
      <c r="C351" s="103"/>
      <c r="D351" s="66"/>
      <c r="E351" s="93"/>
      <c r="F351" s="66"/>
      <c r="G351" s="40"/>
      <c r="H351" s="91"/>
      <c r="I351" s="92"/>
      <c r="J351" s="43"/>
      <c r="K351" s="66"/>
    </row>
    <row r="352">
      <c r="A352" s="46"/>
      <c r="B352" s="35"/>
      <c r="C352" s="103"/>
      <c r="D352" s="66"/>
      <c r="E352" s="93"/>
      <c r="F352" s="66"/>
      <c r="G352" s="40"/>
      <c r="H352" s="91"/>
      <c r="I352" s="92"/>
      <c r="J352" s="43"/>
      <c r="K352" s="66"/>
    </row>
    <row r="353">
      <c r="A353" s="46"/>
      <c r="B353" s="35"/>
      <c r="C353" s="103"/>
      <c r="D353" s="66"/>
      <c r="E353" s="93"/>
      <c r="F353" s="66"/>
      <c r="G353" s="40"/>
      <c r="H353" s="91"/>
      <c r="I353" s="92"/>
      <c r="J353" s="43"/>
      <c r="K353" s="66"/>
    </row>
    <row r="354">
      <c r="A354" s="46"/>
      <c r="B354" s="35"/>
      <c r="C354" s="103"/>
      <c r="D354" s="66"/>
      <c r="E354" s="93"/>
      <c r="F354" s="66"/>
      <c r="G354" s="40"/>
      <c r="H354" s="91"/>
      <c r="I354" s="92"/>
      <c r="J354" s="43"/>
      <c r="K354" s="66"/>
    </row>
    <row r="355">
      <c r="A355" s="46"/>
      <c r="B355" s="35"/>
      <c r="C355" s="103"/>
      <c r="D355" s="66"/>
      <c r="E355" s="93"/>
      <c r="F355" s="66"/>
      <c r="G355" s="40"/>
      <c r="H355" s="91"/>
      <c r="I355" s="92"/>
      <c r="J355" s="43"/>
      <c r="K355" s="66"/>
    </row>
    <row r="356">
      <c r="A356" s="46"/>
      <c r="B356" s="35"/>
      <c r="C356" s="103"/>
      <c r="D356" s="66"/>
      <c r="E356" s="93"/>
      <c r="F356" s="66"/>
      <c r="G356" s="40"/>
      <c r="H356" s="91"/>
      <c r="I356" s="92"/>
      <c r="J356" s="43"/>
      <c r="K356" s="66"/>
    </row>
    <row r="357">
      <c r="A357" s="46"/>
      <c r="B357" s="35"/>
      <c r="C357" s="103"/>
      <c r="D357" s="66"/>
      <c r="E357" s="93"/>
      <c r="F357" s="66"/>
      <c r="G357" s="40"/>
      <c r="H357" s="91"/>
      <c r="I357" s="92"/>
      <c r="J357" s="43"/>
      <c r="K357" s="66"/>
    </row>
    <row r="358">
      <c r="A358" s="46"/>
      <c r="B358" s="35"/>
      <c r="C358" s="103"/>
      <c r="D358" s="66"/>
      <c r="E358" s="93"/>
      <c r="F358" s="66"/>
      <c r="G358" s="40"/>
      <c r="H358" s="91"/>
      <c r="I358" s="92"/>
      <c r="J358" s="43"/>
      <c r="K358" s="66"/>
    </row>
    <row r="359">
      <c r="A359" s="46"/>
      <c r="B359" s="35"/>
      <c r="C359" s="103"/>
      <c r="D359" s="66"/>
      <c r="E359" s="93"/>
      <c r="F359" s="66"/>
      <c r="G359" s="40"/>
      <c r="H359" s="91"/>
      <c r="I359" s="92"/>
      <c r="J359" s="43"/>
      <c r="K359" s="66"/>
    </row>
    <row r="360">
      <c r="A360" s="46"/>
      <c r="B360" s="35"/>
      <c r="C360" s="103"/>
      <c r="D360" s="66"/>
      <c r="E360" s="93"/>
      <c r="F360" s="66"/>
      <c r="G360" s="40"/>
      <c r="H360" s="91"/>
      <c r="I360" s="92"/>
      <c r="J360" s="43"/>
      <c r="K360" s="66"/>
    </row>
    <row r="361">
      <c r="A361" s="46"/>
      <c r="B361" s="35"/>
      <c r="C361" s="103"/>
      <c r="D361" s="66"/>
      <c r="E361" s="93"/>
      <c r="F361" s="66"/>
      <c r="G361" s="40"/>
      <c r="H361" s="91"/>
      <c r="I361" s="92"/>
      <c r="J361" s="43"/>
      <c r="K361" s="66"/>
    </row>
    <row r="362">
      <c r="A362" s="46"/>
      <c r="B362" s="35"/>
      <c r="C362" s="103"/>
      <c r="D362" s="66"/>
      <c r="E362" s="93"/>
      <c r="F362" s="66"/>
      <c r="G362" s="40"/>
      <c r="H362" s="91"/>
      <c r="I362" s="92"/>
      <c r="J362" s="43"/>
      <c r="K362" s="66"/>
    </row>
    <row r="363">
      <c r="A363" s="46"/>
      <c r="B363" s="35"/>
      <c r="C363" s="103"/>
      <c r="D363" s="66"/>
      <c r="E363" s="93"/>
      <c r="F363" s="66"/>
      <c r="G363" s="40"/>
      <c r="H363" s="91"/>
      <c r="I363" s="92"/>
      <c r="J363" s="43"/>
      <c r="K363" s="66"/>
    </row>
    <row r="364">
      <c r="A364" s="46"/>
      <c r="B364" s="35"/>
      <c r="C364" s="103"/>
      <c r="D364" s="66"/>
      <c r="E364" s="93"/>
      <c r="F364" s="66"/>
      <c r="G364" s="40"/>
      <c r="H364" s="91"/>
      <c r="I364" s="92"/>
      <c r="J364" s="43"/>
      <c r="K364" s="66"/>
    </row>
    <row r="365">
      <c r="A365" s="46"/>
      <c r="B365" s="35"/>
      <c r="C365" s="104"/>
      <c r="D365" s="66"/>
      <c r="E365" s="105"/>
      <c r="F365" s="66"/>
      <c r="G365" s="40"/>
      <c r="H365" s="41"/>
      <c r="I365" s="42"/>
      <c r="J365" s="43"/>
      <c r="K365" s="66"/>
    </row>
    <row r="366">
      <c r="A366" s="46"/>
      <c r="B366" s="35"/>
      <c r="C366" s="104"/>
      <c r="D366" s="66"/>
      <c r="E366" s="105"/>
      <c r="F366" s="66"/>
      <c r="G366" s="40"/>
      <c r="H366" s="41"/>
      <c r="I366" s="42"/>
      <c r="J366" s="43"/>
      <c r="K366" s="66"/>
    </row>
    <row r="367">
      <c r="A367" s="46"/>
      <c r="B367" s="35"/>
      <c r="C367" s="104"/>
      <c r="D367" s="66"/>
      <c r="E367" s="105"/>
      <c r="F367" s="66"/>
      <c r="G367" s="40"/>
      <c r="H367" s="41"/>
      <c r="I367" s="42"/>
      <c r="J367" s="43"/>
      <c r="K367" s="66"/>
    </row>
    <row r="368">
      <c r="A368" s="46"/>
      <c r="B368" s="35"/>
      <c r="C368" s="104"/>
      <c r="D368" s="66"/>
      <c r="E368" s="105"/>
      <c r="F368" s="66"/>
      <c r="G368" s="40"/>
      <c r="H368" s="41"/>
      <c r="I368" s="42"/>
      <c r="J368" s="43"/>
      <c r="K368" s="66"/>
    </row>
    <row r="369">
      <c r="A369" s="46"/>
      <c r="B369" s="35"/>
      <c r="C369" s="106"/>
      <c r="D369" s="66"/>
      <c r="E369" s="107"/>
      <c r="F369" s="66"/>
      <c r="G369" s="40"/>
      <c r="H369" s="108"/>
      <c r="I369" s="109"/>
      <c r="J369" s="43"/>
      <c r="K369" s="66"/>
    </row>
    <row r="370">
      <c r="A370" s="46"/>
      <c r="B370" s="35"/>
      <c r="C370" s="106"/>
      <c r="D370" s="66"/>
      <c r="E370" s="105"/>
      <c r="F370" s="66"/>
      <c r="G370" s="40"/>
      <c r="H370" s="41"/>
      <c r="I370" s="42"/>
      <c r="J370" s="43"/>
      <c r="K370" s="66"/>
    </row>
    <row r="371">
      <c r="A371" s="46"/>
      <c r="B371" s="35"/>
      <c r="C371" s="104"/>
      <c r="D371" s="66"/>
      <c r="E371" s="105"/>
      <c r="F371" s="66"/>
      <c r="G371" s="40"/>
      <c r="H371" s="41"/>
      <c r="I371" s="42"/>
      <c r="J371" s="43"/>
      <c r="K371" s="66"/>
    </row>
    <row r="372">
      <c r="A372" s="46"/>
      <c r="B372" s="35"/>
      <c r="C372" s="106"/>
      <c r="D372" s="66"/>
      <c r="E372" s="107"/>
      <c r="F372" s="66"/>
      <c r="G372" s="40"/>
      <c r="H372" s="108"/>
      <c r="I372" s="109"/>
      <c r="J372" s="43"/>
      <c r="K372" s="66"/>
    </row>
    <row r="373">
      <c r="A373" s="46"/>
      <c r="B373" s="35"/>
      <c r="C373" s="104"/>
      <c r="D373" s="66"/>
      <c r="E373" s="105"/>
      <c r="F373" s="66"/>
      <c r="G373" s="40"/>
      <c r="H373" s="41"/>
      <c r="I373" s="42"/>
      <c r="J373" s="43"/>
      <c r="K373" s="66"/>
    </row>
    <row r="374">
      <c r="A374" s="46"/>
      <c r="B374" s="35"/>
      <c r="C374" s="106"/>
      <c r="D374" s="66"/>
      <c r="E374" s="107"/>
      <c r="F374" s="66"/>
      <c r="G374" s="40"/>
      <c r="H374" s="108"/>
      <c r="I374" s="109"/>
      <c r="J374" s="43"/>
      <c r="K374" s="66"/>
    </row>
    <row r="375">
      <c r="A375" s="46"/>
      <c r="B375" s="35"/>
      <c r="C375" s="106"/>
      <c r="D375" s="66"/>
      <c r="E375" s="107"/>
      <c r="F375" s="66"/>
      <c r="G375" s="40"/>
      <c r="H375" s="108"/>
      <c r="I375" s="109"/>
      <c r="J375" s="43"/>
      <c r="K375" s="66"/>
    </row>
    <row r="376">
      <c r="A376" s="46"/>
      <c r="B376" s="35"/>
      <c r="C376" s="106"/>
      <c r="D376" s="66"/>
      <c r="E376" s="107"/>
      <c r="F376" s="66"/>
      <c r="G376" s="40"/>
      <c r="H376" s="108"/>
      <c r="I376" s="109"/>
      <c r="J376" s="43"/>
      <c r="K376" s="66"/>
    </row>
    <row r="377">
      <c r="A377" s="46"/>
      <c r="B377" s="35"/>
      <c r="C377" s="104"/>
      <c r="D377" s="66"/>
      <c r="E377" s="105"/>
      <c r="F377" s="66"/>
      <c r="G377" s="40"/>
      <c r="H377" s="41"/>
      <c r="I377" s="42"/>
      <c r="J377" s="43"/>
      <c r="K377" s="66"/>
    </row>
    <row r="378">
      <c r="A378" s="46"/>
      <c r="B378" s="35"/>
      <c r="C378" s="104"/>
      <c r="D378" s="66"/>
      <c r="E378" s="105"/>
      <c r="F378" s="66"/>
      <c r="G378" s="40"/>
      <c r="H378" s="41"/>
      <c r="I378" s="42"/>
      <c r="J378" s="43"/>
      <c r="K378" s="66"/>
    </row>
    <row r="379">
      <c r="A379" s="46"/>
      <c r="B379" s="35"/>
      <c r="C379" s="104"/>
      <c r="D379" s="66"/>
      <c r="E379" s="105"/>
      <c r="F379" s="66"/>
      <c r="G379" s="40"/>
      <c r="H379" s="41"/>
      <c r="I379" s="42"/>
      <c r="J379" s="43"/>
      <c r="K379" s="66"/>
    </row>
    <row r="380">
      <c r="A380" s="46"/>
      <c r="B380" s="35"/>
      <c r="C380" s="104"/>
      <c r="D380" s="66"/>
      <c r="E380" s="105"/>
      <c r="F380" s="66"/>
      <c r="G380" s="40"/>
      <c r="H380" s="41"/>
      <c r="I380" s="42"/>
      <c r="J380" s="43"/>
      <c r="K380" s="66"/>
    </row>
    <row r="381">
      <c r="A381" s="46"/>
      <c r="B381" s="35"/>
      <c r="C381" s="106"/>
      <c r="D381" s="66"/>
      <c r="E381" s="107"/>
      <c r="F381" s="66"/>
      <c r="G381" s="40"/>
      <c r="H381" s="108"/>
      <c r="I381" s="109"/>
      <c r="J381" s="43"/>
      <c r="K381" s="66"/>
    </row>
    <row r="382">
      <c r="A382" s="46"/>
      <c r="B382" s="35"/>
      <c r="C382" s="104"/>
      <c r="D382" s="66"/>
      <c r="E382" s="105"/>
      <c r="F382" s="66"/>
      <c r="G382" s="40"/>
      <c r="H382" s="41"/>
      <c r="I382" s="42"/>
      <c r="J382" s="43"/>
      <c r="K382" s="66"/>
    </row>
    <row r="383">
      <c r="A383" s="46"/>
      <c r="B383" s="35"/>
      <c r="C383" s="106"/>
      <c r="D383" s="66"/>
      <c r="E383" s="107"/>
      <c r="F383" s="66"/>
      <c r="G383" s="40"/>
      <c r="H383" s="108"/>
      <c r="I383" s="109"/>
      <c r="J383" s="43"/>
      <c r="K383" s="66"/>
    </row>
    <row r="384">
      <c r="A384" s="46"/>
      <c r="B384" s="35"/>
      <c r="C384" s="106"/>
      <c r="D384" s="66"/>
      <c r="E384" s="105"/>
      <c r="F384" s="66"/>
      <c r="G384" s="40"/>
      <c r="H384" s="41"/>
      <c r="I384" s="42"/>
      <c r="J384" s="43"/>
      <c r="K384" s="66"/>
    </row>
    <row r="385">
      <c r="A385" s="46"/>
      <c r="B385" s="35"/>
      <c r="C385" s="104"/>
      <c r="D385" s="66"/>
      <c r="E385" s="105"/>
      <c r="F385" s="66"/>
      <c r="G385" s="40"/>
      <c r="H385" s="41"/>
      <c r="I385" s="42"/>
      <c r="J385" s="43"/>
      <c r="K385" s="66"/>
    </row>
    <row r="386">
      <c r="A386" s="110"/>
      <c r="B386" s="35"/>
      <c r="C386" s="111"/>
      <c r="D386" s="66"/>
      <c r="E386" s="105"/>
      <c r="F386" s="66"/>
      <c r="G386" s="40"/>
      <c r="H386" s="49"/>
      <c r="I386" s="50"/>
      <c r="J386" s="43"/>
      <c r="K386" s="66"/>
    </row>
    <row r="387">
      <c r="A387" s="112"/>
      <c r="B387" s="35"/>
      <c r="C387" s="111"/>
      <c r="D387" s="113"/>
      <c r="E387" s="105"/>
      <c r="F387" s="66"/>
      <c r="G387" s="40"/>
      <c r="H387" s="49"/>
      <c r="I387" s="50"/>
      <c r="J387" s="43"/>
      <c r="K387" s="66"/>
    </row>
    <row r="388">
      <c r="A388" s="112"/>
      <c r="B388" s="35"/>
      <c r="C388" s="111"/>
      <c r="D388" s="113"/>
      <c r="E388" s="105"/>
      <c r="F388" s="66"/>
      <c r="G388" s="40"/>
      <c r="H388" s="49"/>
      <c r="I388" s="50"/>
      <c r="J388" s="43"/>
      <c r="K388" s="66"/>
    </row>
    <row r="389">
      <c r="A389" s="112"/>
      <c r="B389" s="35"/>
      <c r="C389" s="111"/>
      <c r="D389" s="113"/>
      <c r="E389" s="105"/>
      <c r="F389" s="66"/>
      <c r="G389" s="40"/>
      <c r="H389" s="49"/>
      <c r="I389" s="50"/>
      <c r="J389" s="43"/>
      <c r="K389" s="66"/>
    </row>
    <row r="390">
      <c r="A390" s="112"/>
      <c r="B390" s="35"/>
      <c r="C390" s="111"/>
      <c r="D390" s="113"/>
      <c r="E390" s="105"/>
      <c r="F390" s="66"/>
      <c r="G390" s="40"/>
      <c r="H390" s="49"/>
      <c r="I390" s="50"/>
      <c r="J390" s="43"/>
      <c r="K390" s="66"/>
    </row>
    <row r="391">
      <c r="A391" s="112"/>
      <c r="B391" s="35"/>
      <c r="C391" s="111"/>
      <c r="D391" s="113"/>
      <c r="E391" s="105"/>
      <c r="F391" s="66"/>
      <c r="G391" s="40"/>
      <c r="H391" s="49"/>
      <c r="I391" s="50"/>
      <c r="J391" s="43"/>
      <c r="K391" s="66"/>
    </row>
    <row r="392">
      <c r="A392" s="112"/>
      <c r="B392" s="35"/>
      <c r="C392" s="111"/>
      <c r="D392" s="113"/>
      <c r="E392" s="105"/>
      <c r="F392" s="66"/>
      <c r="G392" s="40"/>
      <c r="H392" s="49"/>
      <c r="I392" s="50"/>
      <c r="J392" s="43"/>
      <c r="K392" s="66"/>
    </row>
    <row r="393">
      <c r="A393" s="112"/>
      <c r="B393" s="35"/>
      <c r="C393" s="111"/>
      <c r="D393" s="113"/>
      <c r="E393" s="105"/>
      <c r="F393" s="66"/>
      <c r="G393" s="40"/>
      <c r="H393" s="49"/>
      <c r="I393" s="50"/>
      <c r="J393" s="43"/>
      <c r="K393" s="66"/>
    </row>
    <row r="394">
      <c r="A394" s="112"/>
      <c r="B394" s="35"/>
      <c r="C394" s="111"/>
      <c r="D394" s="113"/>
      <c r="E394" s="105"/>
      <c r="F394" s="66"/>
      <c r="G394" s="40"/>
      <c r="H394" s="49"/>
      <c r="I394" s="50"/>
      <c r="J394" s="43"/>
      <c r="K394" s="66"/>
    </row>
    <row r="395">
      <c r="A395" s="112"/>
      <c r="B395" s="35"/>
      <c r="C395" s="111"/>
      <c r="D395" s="113"/>
      <c r="E395" s="105"/>
      <c r="F395" s="66"/>
      <c r="G395" s="40"/>
      <c r="H395" s="49"/>
      <c r="I395" s="50"/>
      <c r="J395" s="43"/>
      <c r="K395" s="66"/>
    </row>
    <row r="396">
      <c r="A396" s="112"/>
      <c r="B396" s="35"/>
      <c r="C396" s="111"/>
      <c r="D396" s="113"/>
      <c r="E396" s="105"/>
      <c r="F396" s="66"/>
      <c r="G396" s="40"/>
      <c r="H396" s="49"/>
      <c r="I396" s="50"/>
      <c r="J396" s="43"/>
      <c r="K396" s="66"/>
    </row>
    <row r="397">
      <c r="A397" s="112"/>
      <c r="B397" s="35"/>
      <c r="C397" s="111"/>
      <c r="D397" s="113"/>
      <c r="E397" s="105"/>
      <c r="F397" s="66"/>
      <c r="G397" s="40"/>
      <c r="H397" s="49"/>
      <c r="I397" s="50"/>
      <c r="J397" s="43"/>
      <c r="K397" s="66"/>
    </row>
    <row r="398">
      <c r="A398" s="112"/>
      <c r="B398" s="35"/>
      <c r="C398" s="111"/>
      <c r="D398" s="113"/>
      <c r="E398" s="105"/>
      <c r="F398" s="66"/>
      <c r="G398" s="40"/>
      <c r="H398" s="49"/>
      <c r="I398" s="50"/>
      <c r="J398" s="43"/>
      <c r="K398" s="66"/>
    </row>
    <row r="399">
      <c r="A399" s="112"/>
      <c r="B399" s="35"/>
      <c r="C399" s="111"/>
      <c r="D399" s="113"/>
      <c r="E399" s="105"/>
      <c r="F399" s="66"/>
      <c r="G399" s="40"/>
      <c r="H399" s="49"/>
      <c r="I399" s="50"/>
      <c r="J399" s="43"/>
      <c r="K399" s="66"/>
    </row>
    <row r="400">
      <c r="A400" s="112"/>
      <c r="B400" s="35"/>
      <c r="C400" s="111"/>
      <c r="D400" s="113"/>
      <c r="E400" s="105"/>
      <c r="F400" s="66"/>
      <c r="G400" s="40"/>
      <c r="H400" s="49"/>
      <c r="I400" s="50"/>
      <c r="J400" s="43"/>
      <c r="K400" s="66"/>
    </row>
    <row r="401">
      <c r="A401" s="112"/>
      <c r="B401" s="35"/>
      <c r="C401" s="111"/>
      <c r="D401" s="113"/>
      <c r="E401" s="105"/>
      <c r="F401" s="66"/>
      <c r="G401" s="40"/>
      <c r="H401" s="49"/>
      <c r="I401" s="50"/>
      <c r="J401" s="43"/>
      <c r="K401" s="66"/>
    </row>
    <row r="402">
      <c r="A402" s="112"/>
      <c r="B402" s="35"/>
      <c r="C402" s="111"/>
      <c r="D402" s="113"/>
      <c r="E402" s="105"/>
      <c r="F402" s="66"/>
      <c r="G402" s="40"/>
      <c r="H402" s="49"/>
      <c r="I402" s="50"/>
      <c r="J402" s="43"/>
      <c r="K402" s="66"/>
    </row>
    <row r="403">
      <c r="A403" s="112"/>
      <c r="B403" s="35"/>
      <c r="C403" s="111"/>
      <c r="D403" s="113"/>
      <c r="E403" s="105"/>
      <c r="F403" s="66"/>
      <c r="G403" s="40"/>
      <c r="H403" s="49"/>
      <c r="I403" s="50"/>
      <c r="J403" s="43"/>
      <c r="K403" s="66"/>
    </row>
    <row r="404">
      <c r="A404" s="112"/>
      <c r="B404" s="35"/>
      <c r="C404" s="111"/>
      <c r="D404" s="113"/>
      <c r="E404" s="105"/>
      <c r="F404" s="66"/>
      <c r="G404" s="40"/>
      <c r="H404" s="49"/>
      <c r="I404" s="50"/>
      <c r="J404" s="43"/>
      <c r="K404" s="66"/>
    </row>
    <row r="405">
      <c r="A405" s="112"/>
      <c r="B405" s="35"/>
      <c r="C405" s="111"/>
      <c r="D405" s="113"/>
      <c r="E405" s="105"/>
      <c r="F405" s="66"/>
      <c r="G405" s="40"/>
      <c r="H405" s="49"/>
      <c r="I405" s="50"/>
      <c r="J405" s="43"/>
      <c r="K405" s="66"/>
    </row>
    <row r="406">
      <c r="A406" s="112"/>
      <c r="B406" s="35"/>
      <c r="C406" s="111"/>
      <c r="D406" s="113"/>
      <c r="E406" s="105"/>
      <c r="F406" s="66"/>
      <c r="G406" s="40"/>
      <c r="H406" s="49"/>
      <c r="I406" s="50"/>
      <c r="J406" s="43"/>
      <c r="K406" s="66"/>
    </row>
    <row r="407">
      <c r="A407" s="112"/>
      <c r="B407" s="35"/>
      <c r="C407" s="111"/>
      <c r="D407" s="113"/>
      <c r="E407" s="105"/>
      <c r="F407" s="66"/>
      <c r="G407" s="40"/>
      <c r="H407" s="49"/>
      <c r="I407" s="50"/>
      <c r="J407" s="43"/>
      <c r="K407" s="66"/>
    </row>
    <row r="408">
      <c r="A408" s="112"/>
      <c r="B408" s="35"/>
      <c r="C408" s="111"/>
      <c r="D408" s="113"/>
      <c r="E408" s="105"/>
      <c r="F408" s="66"/>
      <c r="G408" s="40"/>
      <c r="H408" s="49"/>
      <c r="I408" s="50"/>
      <c r="J408" s="43"/>
      <c r="K408" s="66"/>
    </row>
    <row r="409">
      <c r="A409" s="112"/>
      <c r="B409" s="35"/>
      <c r="C409" s="111"/>
      <c r="D409" s="113"/>
      <c r="E409" s="105"/>
      <c r="F409" s="66"/>
      <c r="G409" s="40"/>
      <c r="H409" s="49"/>
      <c r="I409" s="50"/>
      <c r="J409" s="43"/>
      <c r="K409" s="66"/>
    </row>
    <row r="410">
      <c r="A410" s="112"/>
      <c r="B410" s="35"/>
      <c r="C410" s="111"/>
      <c r="D410" s="113"/>
      <c r="E410" s="105"/>
      <c r="F410" s="66"/>
      <c r="G410" s="40"/>
      <c r="H410" s="49"/>
      <c r="I410" s="50"/>
      <c r="J410" s="43"/>
      <c r="K410" s="66"/>
    </row>
    <row r="411" ht="22.5" customHeight="1">
      <c r="A411" s="112"/>
      <c r="B411" s="114"/>
      <c r="C411" s="115"/>
      <c r="D411" s="116"/>
      <c r="E411" s="117"/>
      <c r="F411" s="118"/>
      <c r="G411" s="40"/>
      <c r="H411" s="49"/>
      <c r="I411" s="50"/>
      <c r="J411" s="43"/>
      <c r="K411" s="118"/>
    </row>
    <row r="412" ht="22.5" customHeight="1">
      <c r="A412" s="119"/>
      <c r="B412" s="120"/>
      <c r="C412" s="121"/>
      <c r="D412" s="122"/>
      <c r="E412" s="123" t="s">
        <v>30</v>
      </c>
      <c r="F412" s="124"/>
      <c r="G412" s="125"/>
      <c r="H412" s="126">
        <f>sum(H7:H411)</f>
        <v>33525144</v>
      </c>
      <c r="I412" s="127"/>
      <c r="J412" s="128"/>
      <c r="K412" s="129"/>
    </row>
    <row r="413" ht="22.5" customHeight="1">
      <c r="A413" s="119"/>
      <c r="B413" s="119"/>
      <c r="C413" s="130"/>
      <c r="D413" s="130"/>
      <c r="E413" s="11"/>
      <c r="F413" s="12"/>
      <c r="G413" s="5"/>
      <c r="H413" s="131"/>
      <c r="I413" s="132"/>
      <c r="J413" s="133"/>
      <c r="K413" s="134"/>
    </row>
    <row r="414" ht="22.5" customHeight="1">
      <c r="A414" s="1"/>
      <c r="B414" s="13" t="s">
        <v>31</v>
      </c>
      <c r="C414" s="14"/>
      <c r="D414" s="14"/>
      <c r="E414" s="135" t="str">
        <f>#REF!</f>
        <v>#REF!</v>
      </c>
      <c r="F414" s="16"/>
      <c r="G414" s="136"/>
      <c r="H414" s="137"/>
      <c r="I414" s="138"/>
      <c r="J414" s="139"/>
      <c r="K414" s="140"/>
    </row>
    <row r="415" ht="22.5" customHeight="1">
      <c r="A415" s="1"/>
      <c r="B415" s="141"/>
      <c r="C415" s="142"/>
      <c r="D415" s="142"/>
      <c r="E415" s="143"/>
      <c r="F415" s="144"/>
      <c r="G415" s="145"/>
      <c r="H415" s="146"/>
      <c r="I415" s="147"/>
      <c r="J415" s="148"/>
      <c r="K415" s="149"/>
    </row>
    <row r="416" ht="22.5" customHeight="1">
      <c r="A416" s="1"/>
      <c r="B416" s="1"/>
      <c r="C416" s="2"/>
      <c r="D416" s="2"/>
      <c r="E416" s="11"/>
      <c r="F416" s="12"/>
      <c r="G416" s="5"/>
      <c r="H416" s="131"/>
      <c r="I416" s="132"/>
      <c r="J416" s="133"/>
      <c r="K416" s="134"/>
    </row>
    <row r="417" ht="22.5" customHeight="1">
      <c r="A417" s="1"/>
      <c r="B417" s="150" t="s">
        <v>32</v>
      </c>
      <c r="C417" s="151"/>
      <c r="D417" s="151"/>
      <c r="E417" s="152"/>
      <c r="F417" s="153"/>
      <c r="G417" s="154"/>
      <c r="H417" s="155"/>
      <c r="I417" s="156"/>
      <c r="J417" s="157"/>
      <c r="K417" s="134"/>
    </row>
    <row r="418" ht="22.5" customHeight="1">
      <c r="A418" s="2"/>
      <c r="B418" s="158" t="s">
        <v>30</v>
      </c>
      <c r="C418" s="158"/>
      <c r="D418" s="158" t="s">
        <v>33</v>
      </c>
      <c r="E418" s="159" t="s">
        <v>34</v>
      </c>
      <c r="F418" s="160" t="s">
        <v>35</v>
      </c>
      <c r="G418" s="161"/>
      <c r="H418" s="162" t="s">
        <v>36</v>
      </c>
      <c r="I418" s="163"/>
      <c r="J418" s="161"/>
      <c r="K418" s="164"/>
    </row>
    <row r="419" ht="37.5" customHeight="1">
      <c r="A419" s="119"/>
      <c r="B419" s="165">
        <f>H412</f>
        <v>33525144</v>
      </c>
      <c r="C419" s="166"/>
      <c r="D419" s="166"/>
      <c r="E419" s="167" t="str">
        <f>#REF!</f>
        <v>#REF!</v>
      </c>
      <c r="F419" s="168"/>
      <c r="G419" s="169"/>
      <c r="H419" s="131" t="str">
        <f>B419-E419</f>
        <v>#REF!</v>
      </c>
      <c r="I419" s="132"/>
      <c r="J419" s="170"/>
      <c r="K419" s="134"/>
    </row>
    <row r="420" ht="22.5" customHeight="1">
      <c r="A420" s="119"/>
      <c r="B420" s="119"/>
      <c r="C420" s="130"/>
      <c r="D420" s="130"/>
      <c r="E420" s="11"/>
      <c r="F420" s="12"/>
      <c r="G420" s="5"/>
      <c r="H420" s="131"/>
      <c r="I420" s="132"/>
      <c r="J420" s="133"/>
      <c r="K420" s="134"/>
    </row>
    <row r="421" ht="22.5" customHeight="1">
      <c r="A421" s="1"/>
      <c r="B421" s="150" t="s">
        <v>37</v>
      </c>
      <c r="C421" s="151"/>
      <c r="D421" s="151"/>
      <c r="E421" s="152"/>
      <c r="F421" s="153"/>
      <c r="G421" s="154"/>
      <c r="H421" s="155"/>
      <c r="I421" s="156"/>
      <c r="J421" s="157"/>
      <c r="K421" s="134"/>
    </row>
    <row r="422" ht="22.5" customHeight="1">
      <c r="A422" s="2"/>
      <c r="B422" s="158" t="s">
        <v>38</v>
      </c>
      <c r="C422" s="158"/>
      <c r="D422" s="158"/>
      <c r="E422" s="171" t="str">
        <f>'Spending 25.04'!H89+#REF!</f>
        <v>#REF!</v>
      </c>
      <c r="F422" s="172"/>
      <c r="G422" s="173"/>
      <c r="H422" s="162"/>
      <c r="I422" s="163"/>
      <c r="J422" s="173"/>
      <c r="K422" s="164"/>
    </row>
    <row r="423" ht="22.5" customHeight="1">
      <c r="A423" s="119"/>
      <c r="B423" s="119"/>
      <c r="C423" s="130"/>
      <c r="D423" s="130"/>
      <c r="E423" s="11"/>
      <c r="F423" s="12"/>
      <c r="G423" s="5"/>
      <c r="H423" s="131"/>
      <c r="I423" s="132"/>
      <c r="J423" s="133"/>
      <c r="K423" s="134"/>
    </row>
    <row r="424" ht="22.5" customHeight="1">
      <c r="A424" s="119"/>
      <c r="B424" s="150" t="s">
        <v>39</v>
      </c>
      <c r="C424" s="130"/>
      <c r="D424" s="130"/>
      <c r="E424" s="11"/>
      <c r="F424" s="12"/>
      <c r="G424" s="5"/>
      <c r="H424" s="131"/>
      <c r="I424" s="132"/>
      <c r="J424" s="133"/>
      <c r="K424" s="134"/>
    </row>
    <row r="425" ht="22.5" customHeight="1">
      <c r="A425" s="119"/>
      <c r="B425" s="174"/>
      <c r="C425" s="175"/>
      <c r="D425" s="175"/>
      <c r="E425" s="176"/>
      <c r="F425" s="177"/>
      <c r="G425" s="178"/>
      <c r="H425" s="131"/>
      <c r="I425" s="132"/>
      <c r="J425" s="179"/>
      <c r="K425" s="134"/>
    </row>
    <row r="426" ht="22.5" customHeight="1">
      <c r="A426" s="119"/>
      <c r="B426" s="180"/>
      <c r="C426" s="181"/>
      <c r="D426" s="181"/>
      <c r="E426" s="182"/>
      <c r="F426" s="183"/>
      <c r="G426" s="184"/>
      <c r="H426" s="131"/>
      <c r="I426" s="132"/>
      <c r="J426" s="179"/>
      <c r="K426" s="134"/>
    </row>
    <row r="427" ht="22.5" customHeight="1">
      <c r="A427" s="119"/>
      <c r="B427" s="180"/>
      <c r="C427" s="181"/>
      <c r="D427" s="181"/>
      <c r="E427" s="182"/>
      <c r="F427" s="183"/>
      <c r="G427" s="184"/>
      <c r="H427" s="131"/>
      <c r="I427" s="132"/>
      <c r="J427" s="179"/>
      <c r="K427" s="134"/>
    </row>
    <row r="428" ht="22.5" customHeight="1">
      <c r="A428" s="119"/>
      <c r="B428" s="185"/>
      <c r="C428" s="186"/>
      <c r="D428" s="186"/>
      <c r="E428" s="187"/>
      <c r="F428" s="188"/>
      <c r="G428" s="189"/>
      <c r="H428" s="131"/>
      <c r="I428" s="132"/>
      <c r="J428" s="179"/>
      <c r="K428" s="134"/>
    </row>
    <row r="429" ht="22.5" customHeight="1">
      <c r="A429" s="119"/>
      <c r="B429" s="119"/>
      <c r="C429" s="130"/>
      <c r="D429" s="130"/>
      <c r="E429" s="11"/>
      <c r="F429" s="12"/>
      <c r="G429" s="5"/>
      <c r="H429" s="131"/>
      <c r="I429" s="132"/>
      <c r="J429" s="133"/>
      <c r="K429" s="134"/>
    </row>
    <row r="430" ht="22.5" customHeight="1">
      <c r="A430" s="119"/>
      <c r="B430" s="150" t="s">
        <v>40</v>
      </c>
      <c r="C430" s="151"/>
      <c r="D430" s="151"/>
      <c r="E430" s="152"/>
      <c r="F430" s="153"/>
      <c r="G430" s="154"/>
      <c r="H430" s="155"/>
      <c r="I430" s="156"/>
      <c r="J430" s="157"/>
      <c r="K430" s="134"/>
    </row>
    <row r="431" ht="22.5" customHeight="1">
      <c r="A431" s="119"/>
      <c r="B431" s="158" t="s">
        <v>36</v>
      </c>
      <c r="C431" s="158"/>
      <c r="D431" s="158" t="s">
        <v>33</v>
      </c>
      <c r="E431" s="159" t="s">
        <v>38</v>
      </c>
      <c r="F431" s="160" t="s">
        <v>35</v>
      </c>
      <c r="G431" s="161"/>
      <c r="H431" s="162" t="s">
        <v>41</v>
      </c>
      <c r="I431" s="163"/>
      <c r="J431" s="161"/>
      <c r="K431" s="164"/>
    </row>
    <row r="432" ht="22.5" customHeight="1">
      <c r="A432" s="119"/>
      <c r="B432" s="165" t="str">
        <f>H419</f>
        <v>#REF!</v>
      </c>
      <c r="C432" s="190"/>
      <c r="D432" s="190"/>
      <c r="E432" s="191" t="str">
        <f>E422</f>
        <v>#REF!</v>
      </c>
      <c r="F432" s="190"/>
      <c r="G432" s="190"/>
      <c r="H432" s="126" t="str">
        <f>H419-E422</f>
        <v>#REF!</v>
      </c>
      <c r="I432" s="127"/>
      <c r="J432" s="165"/>
      <c r="K432" s="134"/>
    </row>
    <row r="433" ht="22.5" customHeight="1">
      <c r="A433" s="119"/>
      <c r="B433" s="119"/>
      <c r="C433" s="130"/>
      <c r="D433" s="130"/>
      <c r="E433" s="11"/>
      <c r="F433" s="12"/>
      <c r="G433" s="5"/>
      <c r="H433" s="131"/>
      <c r="I433" s="132"/>
      <c r="J433" s="133"/>
      <c r="K433" s="134"/>
    </row>
    <row r="434" ht="22.5" customHeight="1">
      <c r="A434" s="119"/>
      <c r="B434" s="158" t="s">
        <v>42</v>
      </c>
      <c r="C434" s="158"/>
      <c r="D434" s="158" t="s">
        <v>43</v>
      </c>
      <c r="E434" s="159" t="s">
        <v>44</v>
      </c>
      <c r="F434" s="160" t="s">
        <v>35</v>
      </c>
      <c r="G434" s="161"/>
      <c r="H434" s="162" t="s">
        <v>45</v>
      </c>
      <c r="I434" s="163"/>
      <c r="J434" s="161"/>
      <c r="K434" s="164"/>
    </row>
    <row r="435" ht="22.5" customHeight="1">
      <c r="A435" s="119"/>
      <c r="B435" s="165" t="str">
        <f>H432</f>
        <v>#REF!</v>
      </c>
      <c r="C435" s="169"/>
      <c r="D435" s="169"/>
      <c r="E435" s="192">
        <v>5.0</v>
      </c>
      <c r="F435" s="169"/>
      <c r="G435" s="169"/>
      <c r="H435" s="131" t="str">
        <f>B435/E435</f>
        <v>#REF!</v>
      </c>
      <c r="I435" s="132"/>
      <c r="J435" s="170"/>
      <c r="K435" s="134"/>
    </row>
    <row r="436" ht="22.5" customHeight="1">
      <c r="A436" s="119"/>
      <c r="B436" s="119"/>
      <c r="C436" s="130"/>
      <c r="D436" s="130"/>
      <c r="E436" s="11"/>
      <c r="F436" s="12"/>
      <c r="G436" s="5"/>
      <c r="H436" s="131"/>
      <c r="I436" s="132"/>
      <c r="J436" s="133"/>
      <c r="K436" s="134"/>
    </row>
    <row r="437" ht="22.5" customHeight="1">
      <c r="A437" s="119"/>
      <c r="B437" s="193" t="s">
        <v>46</v>
      </c>
      <c r="C437" s="130"/>
      <c r="D437" s="130"/>
      <c r="E437" s="11"/>
      <c r="F437" s="12"/>
      <c r="G437" s="5"/>
      <c r="H437" s="131"/>
      <c r="I437" s="132"/>
      <c r="J437" s="133"/>
      <c r="K437" s="134"/>
    </row>
    <row r="438" ht="22.5" customHeight="1">
      <c r="A438" s="119"/>
      <c r="B438" s="194"/>
      <c r="C438" s="195"/>
      <c r="D438" s="195"/>
      <c r="E438" s="196"/>
      <c r="F438" s="197"/>
      <c r="G438" s="198"/>
      <c r="H438" s="131"/>
      <c r="I438" s="132"/>
      <c r="J438" s="199"/>
      <c r="K438" s="134"/>
    </row>
    <row r="439" ht="22.5" customHeight="1">
      <c r="A439" s="119"/>
      <c r="B439" s="200"/>
      <c r="C439" s="201"/>
      <c r="D439" s="201"/>
      <c r="E439" s="202"/>
      <c r="F439" s="203"/>
      <c r="G439" s="204"/>
      <c r="H439" s="131"/>
      <c r="I439" s="132"/>
      <c r="J439" s="199"/>
      <c r="K439" s="134"/>
    </row>
    <row r="440" ht="22.5" customHeight="1">
      <c r="A440" s="119"/>
      <c r="B440" s="200"/>
      <c r="C440" s="201"/>
      <c r="D440" s="201"/>
      <c r="E440" s="202"/>
      <c r="F440" s="203"/>
      <c r="G440" s="204"/>
      <c r="H440" s="131"/>
      <c r="I440" s="132"/>
      <c r="J440" s="199"/>
      <c r="K440" s="134"/>
    </row>
    <row r="441" ht="22.5" customHeight="1">
      <c r="A441" s="119"/>
      <c r="B441" s="200"/>
      <c r="C441" s="201"/>
      <c r="D441" s="201"/>
      <c r="E441" s="202"/>
      <c r="F441" s="203"/>
      <c r="G441" s="204"/>
      <c r="H441" s="131"/>
      <c r="I441" s="132"/>
      <c r="J441" s="199"/>
      <c r="K441" s="134"/>
    </row>
    <row r="442" ht="22.5" customHeight="1">
      <c r="A442" s="119"/>
      <c r="B442" s="200"/>
      <c r="C442" s="201"/>
      <c r="D442" s="201"/>
      <c r="E442" s="202"/>
      <c r="F442" s="203"/>
      <c r="G442" s="204"/>
      <c r="H442" s="131"/>
      <c r="I442" s="132"/>
      <c r="J442" s="199"/>
      <c r="K442" s="134"/>
    </row>
    <row r="443" ht="22.5" customHeight="1">
      <c r="A443" s="119"/>
      <c r="B443" s="200"/>
      <c r="C443" s="201"/>
      <c r="D443" s="201"/>
      <c r="E443" s="202"/>
      <c r="F443" s="203"/>
      <c r="G443" s="204"/>
      <c r="H443" s="131"/>
      <c r="I443" s="132"/>
      <c r="J443" s="199"/>
      <c r="K443" s="134"/>
    </row>
    <row r="444" ht="22.5" customHeight="1">
      <c r="A444" s="119"/>
      <c r="B444" s="200"/>
      <c r="C444" s="201"/>
      <c r="D444" s="201"/>
      <c r="E444" s="202"/>
      <c r="F444" s="203"/>
      <c r="G444" s="204"/>
      <c r="H444" s="131"/>
      <c r="I444" s="132"/>
      <c r="J444" s="199"/>
      <c r="K444" s="134"/>
    </row>
    <row r="445" ht="22.5" customHeight="1">
      <c r="A445" s="119"/>
      <c r="B445" s="200"/>
      <c r="C445" s="201"/>
      <c r="D445" s="201"/>
      <c r="E445" s="202"/>
      <c r="F445" s="203"/>
      <c r="G445" s="204"/>
      <c r="H445" s="131"/>
      <c r="I445" s="132"/>
      <c r="J445" s="199"/>
      <c r="K445" s="134"/>
    </row>
    <row r="446" ht="22.5" customHeight="1">
      <c r="A446" s="119"/>
      <c r="B446" s="200"/>
      <c r="C446" s="201"/>
      <c r="D446" s="201"/>
      <c r="E446" s="202"/>
      <c r="F446" s="203"/>
      <c r="G446" s="204"/>
      <c r="H446" s="131"/>
      <c r="I446" s="132"/>
      <c r="J446" s="199"/>
      <c r="K446" s="134"/>
    </row>
    <row r="447" ht="37.5" customHeight="1">
      <c r="A447" s="119"/>
      <c r="B447" s="205"/>
      <c r="C447" s="206"/>
      <c r="D447" s="206"/>
      <c r="E447" s="207"/>
      <c r="F447" s="208"/>
      <c r="G447" s="209"/>
      <c r="H447" s="131"/>
      <c r="I447" s="132"/>
      <c r="J447" s="199"/>
      <c r="K447" s="134"/>
    </row>
    <row r="448" ht="37.5" customHeight="1">
      <c r="A448" s="119"/>
      <c r="B448" s="119"/>
      <c r="C448" s="130"/>
      <c r="D448" s="130"/>
      <c r="E448" s="11"/>
      <c r="F448" s="12"/>
      <c r="G448" s="5"/>
      <c r="H448" s="131"/>
      <c r="I448" s="132"/>
      <c r="J448" s="133"/>
      <c r="K448" s="134"/>
    </row>
    <row r="449" ht="37.5" customHeight="1">
      <c r="A449" s="119"/>
      <c r="B449" s="119"/>
      <c r="C449" s="130"/>
      <c r="D449" s="130"/>
      <c r="E449" s="11"/>
      <c r="F449" s="12"/>
      <c r="G449" s="5"/>
      <c r="H449" s="131"/>
      <c r="I449" s="132"/>
      <c r="J449" s="133"/>
      <c r="K449" s="134"/>
    </row>
    <row r="450" ht="37.5" customHeight="1">
      <c r="A450" s="119"/>
      <c r="B450" s="119"/>
      <c r="C450" s="130"/>
      <c r="D450" s="130"/>
      <c r="E450" s="11"/>
      <c r="F450" s="12"/>
      <c r="G450" s="5"/>
      <c r="H450" s="131"/>
      <c r="I450" s="132"/>
      <c r="J450" s="133"/>
      <c r="K450" s="134"/>
    </row>
    <row r="451" ht="37.5" customHeight="1">
      <c r="A451" s="119"/>
      <c r="B451" s="119"/>
      <c r="C451" s="130"/>
      <c r="D451" s="130"/>
      <c r="E451" s="11"/>
      <c r="F451" s="12"/>
      <c r="G451" s="5"/>
      <c r="H451" s="131"/>
      <c r="I451" s="132"/>
      <c r="J451" s="133"/>
      <c r="K451" s="134"/>
    </row>
    <row r="452" ht="37.5" customHeight="1">
      <c r="A452" s="119"/>
      <c r="B452" s="119"/>
      <c r="C452" s="130"/>
      <c r="D452" s="130"/>
      <c r="E452" s="11"/>
      <c r="F452" s="12"/>
      <c r="G452" s="5"/>
      <c r="H452" s="131"/>
      <c r="I452" s="132"/>
      <c r="J452" s="133"/>
      <c r="K452" s="134"/>
    </row>
    <row r="453" ht="37.5" customHeight="1">
      <c r="A453" s="119"/>
      <c r="B453" s="119"/>
      <c r="C453" s="130"/>
      <c r="D453" s="130"/>
      <c r="E453" s="11"/>
      <c r="F453" s="12"/>
      <c r="G453" s="5"/>
      <c r="H453" s="131"/>
      <c r="I453" s="132"/>
      <c r="J453" s="133"/>
      <c r="K453" s="134"/>
    </row>
    <row r="454" ht="37.5" customHeight="1">
      <c r="A454" s="119"/>
      <c r="B454" s="119"/>
      <c r="C454" s="130"/>
      <c r="D454" s="130"/>
      <c r="E454" s="11"/>
      <c r="F454" s="12"/>
      <c r="G454" s="5"/>
      <c r="H454" s="210"/>
      <c r="I454" s="132"/>
      <c r="J454" s="133"/>
      <c r="K454" s="134"/>
    </row>
  </sheetData>
  <mergeCells count="2">
    <mergeCell ref="F5:G5"/>
    <mergeCell ref="J5:K5"/>
  </mergeCells>
  <dataValidations>
    <dataValidation type="list" allowBlank="1" showErrorMessage="1" sqref="D7:D149 D151 D154 D158:D386">
      <formula1>"Family,Gift,Design,Construction,UAD,N&amp;M studio,Saving interest,Banking interest,House rental money,Trash,A4 Class Parents,Loan,Lương hưu"</formula1>
    </dataValidation>
    <dataValidation type="list" allowBlank="1" showErrorMessage="1" sqref="G7:G411 J7:J411">
      <formula1>"Education fee,Extra Education fee,Talent Education fee,Books,Stationery,Travel,Café,Restaurant,Sightseeing,Exhibition,Museum,Funeral,Wedding,Gift,Charity,Spirituality,Medical exam,Body care,Cosmetic,Medical Insurrance,Go Market,Breakfast,Extra meal,Nghĩa,"&amp;"Mai,Totto,Lego,Phone,Internet,Spotify,Banking information,Fuel,Motorcycle maintenance,Parking,Cleaning home,House shopping,House repair,Electricity,Water,Savings,Life Insurance,Design,Construction,T. Electricity,T. Water,T. Cleaning,T. shopping,T. Mainter"&amp;"nance,T. Exchange,T. Tax &amp; Social,T. Renovation,ID Student,A4 Class,Education,Enjoy,For give,Health,Living,Wearing,Information,Transportation,Housing maintenace,Living Expense,Savings,N&amp;M Studio,Togohub management,Totto fund,Lego fund,N&amp;M Salary,Loan,Papa"&amp;" fund,Nghia fund,Tablets"</formula1>
    </dataValidation>
    <dataValidation type="list" allowBlank="1" showErrorMessage="1" sqref="D387:D411">
      <formula1>"Education,Enjoy,For give,Health,Living,Savings,N&amp;M studio,Togohub management,Totto Fund,Lego Fund,ID stufdent,A4 Class"</formula1>
    </dataValidation>
    <dataValidation type="list" allowBlank="1" sqref="B7:B411">
      <formula1>"1,2,3,4,5,6,7,8,9,10,11,12"</formula1>
    </dataValidation>
    <dataValidation type="list" allowBlank="1" showErrorMessage="1" sqref="D150 D152:D153 D155:D157">
      <formula1>"Family,Gift,Design,Construction,UAD,N&amp;M studio,Saving interest,Banking interest,House rental money,Trash,A4 Class Parents"</formula1>
    </dataValidation>
    <dataValidation type="list" allowBlank="1" showErrorMessage="1" sqref="F7:F411 K7:K411">
      <formula1>"Cash,BIDV,Vietcombank,Vp bank Lady,Moca,Momo,Zalo,Saving"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3.88"/>
    <col customWidth="1" min="4" max="4" width="22.63"/>
    <col customWidth="1" min="5" max="29" width="15.13"/>
  </cols>
  <sheetData>
    <row r="1" ht="18.75" customHeight="1">
      <c r="A1" s="211"/>
      <c r="B1" s="211"/>
      <c r="C1" s="211" t="s">
        <v>47</v>
      </c>
    </row>
    <row r="2">
      <c r="A2" s="212"/>
      <c r="B2" s="212"/>
      <c r="C2" s="212"/>
      <c r="D2" s="213"/>
      <c r="E2" s="20" t="s">
        <v>6</v>
      </c>
      <c r="F2" s="214"/>
      <c r="G2" s="214"/>
      <c r="H2" s="214"/>
      <c r="I2" s="214"/>
      <c r="J2" s="214"/>
      <c r="K2" s="214"/>
      <c r="L2" s="214"/>
      <c r="M2" s="214"/>
      <c r="N2" s="21"/>
      <c r="O2" s="213"/>
      <c r="P2" s="213"/>
      <c r="Q2" s="215"/>
      <c r="R2" s="215"/>
      <c r="S2" s="215"/>
      <c r="T2" s="216"/>
      <c r="U2" s="20" t="s">
        <v>5</v>
      </c>
      <c r="V2" s="214"/>
      <c r="W2" s="214"/>
      <c r="X2" s="214"/>
      <c r="Y2" s="214"/>
      <c r="Z2" s="214"/>
      <c r="AA2" s="214"/>
      <c r="AB2" s="214"/>
      <c r="AC2" s="21"/>
    </row>
    <row r="3">
      <c r="A3" s="212"/>
      <c r="B3" s="212"/>
      <c r="C3" s="217"/>
      <c r="D3" s="218"/>
      <c r="E3" s="219" t="s">
        <v>17</v>
      </c>
      <c r="F3" s="219" t="s">
        <v>48</v>
      </c>
      <c r="G3" s="219" t="s">
        <v>24</v>
      </c>
      <c r="H3" s="219" t="s">
        <v>49</v>
      </c>
      <c r="I3" s="219" t="s">
        <v>50</v>
      </c>
      <c r="J3" s="219" t="s">
        <v>51</v>
      </c>
      <c r="K3" s="219" t="s">
        <v>52</v>
      </c>
      <c r="L3" s="219" t="s">
        <v>53</v>
      </c>
      <c r="M3" s="220" t="s">
        <v>54</v>
      </c>
      <c r="N3" s="221" t="s">
        <v>55</v>
      </c>
      <c r="O3" s="215"/>
      <c r="P3" s="215" t="s">
        <v>56</v>
      </c>
      <c r="Q3" s="215" t="s">
        <v>56</v>
      </c>
      <c r="R3" s="215"/>
      <c r="S3" s="216"/>
      <c r="T3" s="222" t="s">
        <v>17</v>
      </c>
      <c r="U3" s="222" t="s">
        <v>48</v>
      </c>
      <c r="V3" s="222" t="s">
        <v>24</v>
      </c>
      <c r="W3" s="222" t="s">
        <v>49</v>
      </c>
      <c r="X3" s="222" t="s">
        <v>50</v>
      </c>
      <c r="Y3" s="222" t="s">
        <v>51</v>
      </c>
      <c r="Z3" s="222" t="s">
        <v>52</v>
      </c>
      <c r="AA3" s="222" t="s">
        <v>53</v>
      </c>
      <c r="AB3" s="223" t="s">
        <v>54</v>
      </c>
      <c r="AC3" s="224" t="s">
        <v>57</v>
      </c>
    </row>
    <row r="4">
      <c r="A4" s="225"/>
      <c r="B4" s="225"/>
      <c r="C4" s="226">
        <v>1.0</v>
      </c>
      <c r="D4" s="227" t="s">
        <v>58</v>
      </c>
      <c r="E4" s="228">
        <f>sumifs('25.04'!$H$7:$H$411,'25.04'!$G$7:$G$411,$D4,'25.04'!$F$7:$F$411,E$3)</f>
        <v>0</v>
      </c>
      <c r="F4" s="228">
        <f>sumifs('25.04'!$H$7:$H$411,'25.04'!$G$7:$G$411,$D4,'25.04'!$F$7:$F$411,F$3)</f>
        <v>0</v>
      </c>
      <c r="G4" s="228">
        <f>sumifs('25.04'!$H$7:$H$411,'25.04'!$G$7:$G$411,$D4,'25.04'!$F$7:$F$411,G$3)</f>
        <v>0</v>
      </c>
      <c r="H4" s="228">
        <f>sumifs('25.04'!$H$7:$H$411,'25.04'!$G$7:$G$411,$D4,'25.04'!$F$7:$F$411,H$3)</f>
        <v>0</v>
      </c>
      <c r="I4" s="228">
        <f>sumifs('25.04'!$H$7:$H$411,'25.04'!$G$7:$G$411,$D4,'25.04'!$F$7:$F$411,I$3)</f>
        <v>0</v>
      </c>
      <c r="J4" s="228">
        <f>sumifs('25.04'!$H$7:$H$411,'25.04'!$G$7:$G$411,$D4,'25.04'!$F$7:$F$411,J$3)</f>
        <v>0</v>
      </c>
      <c r="K4" s="228">
        <f>sumifs('25.04'!$H$7:$H$411,'25.04'!$G$7:$G$411,$D4,'25.04'!$F$7:$F$411,K$3)</f>
        <v>0</v>
      </c>
      <c r="L4" s="228">
        <f>sumifs('25.04'!$H$7:$H$411,'25.04'!$G$7:$G$411,$D4,'25.04'!$F$7:$F$411,L$3)</f>
        <v>0</v>
      </c>
      <c r="M4" s="228">
        <f>sumifs('25.04'!$H$7:$H$411,'25.04'!$G$7:$G$411,$D4,'25.04'!$F$7:$F$411,M$3)</f>
        <v>0</v>
      </c>
      <c r="N4" s="229">
        <f t="shared" ref="N4:N36" si="1">sum(E4:M4)</f>
        <v>0</v>
      </c>
      <c r="O4" s="230"/>
      <c r="P4" s="230" t="str">
        <f t="shared" ref="P4:P9" si="2">N4/sum(N$4:N$9)</f>
        <v>#DIV/0!</v>
      </c>
      <c r="Q4" s="230"/>
      <c r="R4" s="231">
        <f>sum(N4:N9)</f>
        <v>0</v>
      </c>
      <c r="S4" s="230">
        <f>R4/sum($R$4:$R$49)</f>
        <v>0</v>
      </c>
      <c r="T4" s="228">
        <f>sumifs('25.04'!$H$7:$H$411,'25.04'!$J$7:$J$411,$D4,'25.04'!$K$7:$K$411,T$3)</f>
        <v>0</v>
      </c>
      <c r="U4" s="228">
        <f>sumifs('25.04'!$H$7:$H$411,'25.04'!$J$7:$J$411,$D4,'25.04'!$K$7:$K$411,U$3)</f>
        <v>0</v>
      </c>
      <c r="V4" s="228">
        <f>sumifs('25.04'!$H$7:$H$411,'25.04'!$J$7:$J$411,$D4,'25.04'!$K$7:$K$411,V$3)</f>
        <v>0</v>
      </c>
      <c r="W4" s="228">
        <f>sumifs('25.04'!$H$7:$H$411,'25.04'!$J$7:$J$411,$D4,'25.04'!$K$7:$K$411,W$3)</f>
        <v>0</v>
      </c>
      <c r="X4" s="228">
        <f>sumifs('25.04'!$H$7:$H$411,'25.04'!$J$7:$J$411,$D4,'25.04'!$K$7:$K$411,X$3)</f>
        <v>0</v>
      </c>
      <c r="Y4" s="228">
        <f>sumifs('25.04'!$H$7:$H$411,'25.04'!$J$7:$J$411,$D4,'25.04'!$K$7:$K$411,Y$3)</f>
        <v>0</v>
      </c>
      <c r="Z4" s="228">
        <f>sumifs('25.04'!$H$7:$H$411,'25.04'!$J$7:$J$411,$D4,'25.04'!$K$7:$K$411,Z$3)</f>
        <v>0</v>
      </c>
      <c r="AA4" s="228">
        <f>sumifs('25.04'!$H$7:$H$411,'25.04'!$J$7:$J$411,$D4,'25.04'!$K$7:$K$411,AA$3)</f>
        <v>0</v>
      </c>
      <c r="AB4" s="228">
        <f>sumifs('25.04'!$H$7:$H$411,'25.04'!$J$7:$J$411,$D4,'25.04'!$K$7:$K$411,AB$3)</f>
        <v>0</v>
      </c>
      <c r="AC4" s="229">
        <f t="shared" ref="AC4:AC24" si="3">sum(T4:AB4)</f>
        <v>0</v>
      </c>
    </row>
    <row r="5">
      <c r="A5" s="225">
        <v>1.0</v>
      </c>
      <c r="B5" s="232" t="s">
        <v>58</v>
      </c>
      <c r="C5" s="233">
        <v>44927.0</v>
      </c>
      <c r="D5" s="234" t="s">
        <v>59</v>
      </c>
      <c r="E5" s="235">
        <f>sumifs('25.04'!$H$7:$H$411,'25.04'!$G$7:$G$411,$D5,'25.04'!$F$7:$F$411,E$3)</f>
        <v>0</v>
      </c>
      <c r="F5" s="235">
        <f>sumifs('25.04'!$H$7:$H$411,'25.04'!$G$7:$G$411,$D5,'25.04'!$F$7:$F$411,F$3)</f>
        <v>0</v>
      </c>
      <c r="G5" s="235">
        <f>sumifs('25.04'!$H$7:$H$411,'25.04'!$G$7:$G$411,$D5,'25.04'!$F$7:$F$411,G$3)</f>
        <v>0</v>
      </c>
      <c r="H5" s="235">
        <f>sumifs('25.04'!$H$7:$H$411,'25.04'!$G$7:$G$411,$D5,'25.04'!$F$7:$F$411,H$3)</f>
        <v>0</v>
      </c>
      <c r="I5" s="235">
        <f>sumifs('25.04'!$H$7:$H$411,'25.04'!$G$7:$G$411,$D5,'25.04'!$F$7:$F$411,I$3)</f>
        <v>0</v>
      </c>
      <c r="J5" s="235">
        <f>sumifs('25.04'!$H$7:$H$411,'25.04'!$G$7:$G$411,$D5,'25.04'!$F$7:$F$411,J$3)</f>
        <v>0</v>
      </c>
      <c r="K5" s="235">
        <f>sumifs('25.04'!$H$7:$H$411,'25.04'!$G$7:$G$411,$D5,'25.04'!$F$7:$F$411,K$3)</f>
        <v>0</v>
      </c>
      <c r="L5" s="235">
        <f>sumifs('25.04'!$H$7:$H$411,'25.04'!$G$7:$G$411,$D5,'25.04'!$F$7:$F$411,L$3)</f>
        <v>0</v>
      </c>
      <c r="M5" s="235">
        <f>sumifs('25.04'!$H$7:$H$411,'25.04'!$G$7:$G$411,$D5,'25.04'!$F$7:$F$411,M$3)</f>
        <v>0</v>
      </c>
      <c r="N5" s="225">
        <f t="shared" si="1"/>
        <v>0</v>
      </c>
      <c r="O5" s="236"/>
      <c r="P5" s="236" t="str">
        <f t="shared" si="2"/>
        <v>#DIV/0!</v>
      </c>
      <c r="Q5" s="236"/>
      <c r="T5" s="235">
        <f>sumifs('25.04'!$H$7:$H$411,'25.04'!$J$7:$J$411,$D5,'25.04'!$K$7:$K$411,T$3)</f>
        <v>0</v>
      </c>
      <c r="U5" s="235">
        <f>sumifs('25.04'!$H$7:$H$411,'25.04'!$J$7:$J$411,$D5,'25.04'!$K$7:$K$411,U$3)</f>
        <v>0</v>
      </c>
      <c r="V5" s="235">
        <f>sumifs('25.04'!$H$7:$H$411,'25.04'!$J$7:$J$411,$D5,'25.04'!$K$7:$K$411,V$3)</f>
        <v>0</v>
      </c>
      <c r="W5" s="235">
        <f>sumifs('25.04'!$H$7:$H$411,'25.04'!$J$7:$J$411,$D5,'25.04'!$K$7:$K$411,W$3)</f>
        <v>0</v>
      </c>
      <c r="X5" s="235">
        <f>sumifs('25.04'!$H$7:$H$411,'25.04'!$J$7:$J$411,$D5,'25.04'!$K$7:$K$411,X$3)</f>
        <v>0</v>
      </c>
      <c r="Y5" s="235">
        <f>sumifs('25.04'!$H$7:$H$411,'25.04'!$J$7:$J$411,$D5,'25.04'!$K$7:$K$411,Y$3)</f>
        <v>0</v>
      </c>
      <c r="Z5" s="235">
        <f>sumifs('25.04'!$H$7:$H$411,'25.04'!$J$7:$J$411,$D5,'25.04'!$K$7:$K$411,Z$3)</f>
        <v>0</v>
      </c>
      <c r="AA5" s="235">
        <f>sumifs('25.04'!$H$7:$H$411,'25.04'!$J$7:$J$411,$D5,'25.04'!$K$7:$K$411,AA$3)</f>
        <v>0</v>
      </c>
      <c r="AB5" s="235">
        <f>sumifs('25.04'!$H$7:$H$411,'25.04'!$J$7:$J$411,$D5,'25.04'!$K$7:$K$411,AB$3)</f>
        <v>0</v>
      </c>
      <c r="AC5" s="225">
        <f t="shared" si="3"/>
        <v>0</v>
      </c>
    </row>
    <row r="6">
      <c r="B6" s="237"/>
      <c r="C6" s="233">
        <v>44958.0</v>
      </c>
      <c r="D6" s="234" t="s">
        <v>60</v>
      </c>
      <c r="E6" s="235">
        <f>sumifs('25.04'!$H$7:$H$411,'25.04'!$G$7:$G$411,$D6,'25.04'!$F$7:$F$411,E$3)</f>
        <v>0</v>
      </c>
      <c r="F6" s="235">
        <f>sumifs('25.04'!$H$7:$H$411,'25.04'!$G$7:$G$411,$D6,'25.04'!$F$7:$F$411,F$3)</f>
        <v>0</v>
      </c>
      <c r="G6" s="235">
        <f>sumifs('25.04'!$H$7:$H$411,'25.04'!$G$7:$G$411,$D6,'25.04'!$F$7:$F$411,G$3)</f>
        <v>0</v>
      </c>
      <c r="H6" s="235">
        <f>sumifs('25.04'!$H$7:$H$411,'25.04'!$G$7:$G$411,$D6,'25.04'!$F$7:$F$411,H$3)</f>
        <v>0</v>
      </c>
      <c r="I6" s="235">
        <f>sumifs('25.04'!$H$7:$H$411,'25.04'!$G$7:$G$411,$D6,'25.04'!$F$7:$F$411,I$3)</f>
        <v>0</v>
      </c>
      <c r="J6" s="235">
        <f>sumifs('25.04'!$H$7:$H$411,'25.04'!$G$7:$G$411,$D6,'25.04'!$F$7:$F$411,J$3)</f>
        <v>0</v>
      </c>
      <c r="K6" s="235">
        <f>sumifs('25.04'!$H$7:$H$411,'25.04'!$G$7:$G$411,$D6,'25.04'!$F$7:$F$411,K$3)</f>
        <v>0</v>
      </c>
      <c r="L6" s="235">
        <f>sumifs('25.04'!$H$7:$H$411,'25.04'!$G$7:$G$411,$D6,'25.04'!$F$7:$F$411,L$3)</f>
        <v>0</v>
      </c>
      <c r="M6" s="235">
        <f>sumifs('25.04'!$H$7:$H$411,'25.04'!$G$7:$G$411,$D6,'25.04'!$F$7:$F$411,M$3)</f>
        <v>0</v>
      </c>
      <c r="N6" s="225">
        <f t="shared" si="1"/>
        <v>0</v>
      </c>
      <c r="O6" s="236"/>
      <c r="P6" s="236" t="str">
        <f t="shared" si="2"/>
        <v>#DIV/0!</v>
      </c>
      <c r="Q6" s="236"/>
      <c r="T6" s="235">
        <f>sumifs('25.04'!$H$7:$H$411,'25.04'!$J$7:$J$411,$D6,'25.04'!$K$7:$K$411,T$3)</f>
        <v>0</v>
      </c>
      <c r="U6" s="235">
        <f>sumifs('25.04'!$H$7:$H$411,'25.04'!$J$7:$J$411,$D6,'25.04'!$K$7:$K$411,U$3)</f>
        <v>0</v>
      </c>
      <c r="V6" s="235">
        <f>sumifs('25.04'!$H$7:$H$411,'25.04'!$J$7:$J$411,$D6,'25.04'!$K$7:$K$411,V$3)</f>
        <v>0</v>
      </c>
      <c r="W6" s="235">
        <f>sumifs('25.04'!$H$7:$H$411,'25.04'!$J$7:$J$411,$D6,'25.04'!$K$7:$K$411,W$3)</f>
        <v>0</v>
      </c>
      <c r="X6" s="235">
        <f>sumifs('25.04'!$H$7:$H$411,'25.04'!$J$7:$J$411,$D6,'25.04'!$K$7:$K$411,X$3)</f>
        <v>0</v>
      </c>
      <c r="Y6" s="235">
        <f>sumifs('25.04'!$H$7:$H$411,'25.04'!$J$7:$J$411,$D6,'25.04'!$K$7:$K$411,Y$3)</f>
        <v>0</v>
      </c>
      <c r="Z6" s="235">
        <f>sumifs('25.04'!$H$7:$H$411,'25.04'!$J$7:$J$411,$D6,'25.04'!$K$7:$K$411,Z$3)</f>
        <v>0</v>
      </c>
      <c r="AA6" s="235">
        <f>sumifs('25.04'!$H$7:$H$411,'25.04'!$J$7:$J$411,$D6,'25.04'!$K$7:$K$411,AA$3)</f>
        <v>0</v>
      </c>
      <c r="AB6" s="235">
        <f>sumifs('25.04'!$H$7:$H$411,'25.04'!$J$7:$J$411,$D6,'25.04'!$K$7:$K$411,AB$3)</f>
        <v>0</v>
      </c>
      <c r="AC6" s="225">
        <f t="shared" si="3"/>
        <v>0</v>
      </c>
    </row>
    <row r="7">
      <c r="B7" s="237"/>
      <c r="C7" s="233">
        <v>44986.0</v>
      </c>
      <c r="D7" s="234" t="s">
        <v>61</v>
      </c>
      <c r="E7" s="235">
        <f>sumifs('25.04'!$H$7:$H$411,'25.04'!$G$7:$G$411,$D7,'25.04'!$F$7:$F$411,E$3)</f>
        <v>0</v>
      </c>
      <c r="F7" s="235">
        <f>sumifs('25.04'!$H$7:$H$411,'25.04'!$G$7:$G$411,$D7,'25.04'!$F$7:$F$411,F$3)</f>
        <v>0</v>
      </c>
      <c r="G7" s="235">
        <f>sumifs('25.04'!$H$7:$H$411,'25.04'!$G$7:$G$411,$D7,'25.04'!$F$7:$F$411,G$3)</f>
        <v>0</v>
      </c>
      <c r="H7" s="235">
        <f>sumifs('25.04'!$H$7:$H$411,'25.04'!$G$7:$G$411,$D7,'25.04'!$F$7:$F$411,H$3)</f>
        <v>0</v>
      </c>
      <c r="I7" s="235">
        <f>sumifs('25.04'!$H$7:$H$411,'25.04'!$G$7:$G$411,$D7,'25.04'!$F$7:$F$411,I$3)</f>
        <v>0</v>
      </c>
      <c r="J7" s="235">
        <f>sumifs('25.04'!$H$7:$H$411,'25.04'!$G$7:$G$411,$D7,'25.04'!$F$7:$F$411,J$3)</f>
        <v>0</v>
      </c>
      <c r="K7" s="235">
        <f>sumifs('25.04'!$H$7:$H$411,'25.04'!$G$7:$G$411,$D7,'25.04'!$F$7:$F$411,K$3)</f>
        <v>0</v>
      </c>
      <c r="L7" s="235">
        <f>sumifs('25.04'!$H$7:$H$411,'25.04'!$G$7:$G$411,$D7,'25.04'!$F$7:$F$411,L$3)</f>
        <v>0</v>
      </c>
      <c r="M7" s="235">
        <f>sumifs('25.04'!$H$7:$H$411,'25.04'!$G$7:$G$411,$D7,'25.04'!$F$7:$F$411,M$3)</f>
        <v>0</v>
      </c>
      <c r="N7" s="225">
        <f t="shared" si="1"/>
        <v>0</v>
      </c>
      <c r="O7" s="236"/>
      <c r="P7" s="236" t="str">
        <f t="shared" si="2"/>
        <v>#DIV/0!</v>
      </c>
      <c r="Q7" s="236"/>
      <c r="T7" s="235">
        <f>sumifs('25.04'!$H$7:$H$411,'25.04'!$J$7:$J$411,$D7,'25.04'!$K$7:$K$411,T$3)</f>
        <v>0</v>
      </c>
      <c r="U7" s="235">
        <f>sumifs('25.04'!$H$7:$H$411,'25.04'!$J$7:$J$411,$D7,'25.04'!$K$7:$K$411,U$3)</f>
        <v>0</v>
      </c>
      <c r="V7" s="235">
        <f>sumifs('25.04'!$H$7:$H$411,'25.04'!$J$7:$J$411,$D7,'25.04'!$K$7:$K$411,V$3)</f>
        <v>0</v>
      </c>
      <c r="W7" s="235">
        <f>sumifs('25.04'!$H$7:$H$411,'25.04'!$J$7:$J$411,$D7,'25.04'!$K$7:$K$411,W$3)</f>
        <v>0</v>
      </c>
      <c r="X7" s="235">
        <f>sumifs('25.04'!$H$7:$H$411,'25.04'!$J$7:$J$411,$D7,'25.04'!$K$7:$K$411,X$3)</f>
        <v>0</v>
      </c>
      <c r="Y7" s="235">
        <f>sumifs('25.04'!$H$7:$H$411,'25.04'!$J$7:$J$411,$D7,'25.04'!$K$7:$K$411,Y$3)</f>
        <v>0</v>
      </c>
      <c r="Z7" s="235">
        <f>sumifs('25.04'!$H$7:$H$411,'25.04'!$J$7:$J$411,$D7,'25.04'!$K$7:$K$411,Z$3)</f>
        <v>0</v>
      </c>
      <c r="AA7" s="235">
        <f>sumifs('25.04'!$H$7:$H$411,'25.04'!$J$7:$J$411,$D7,'25.04'!$K$7:$K$411,AA$3)</f>
        <v>0</v>
      </c>
      <c r="AB7" s="235">
        <f>sumifs('25.04'!$H$7:$H$411,'25.04'!$J$7:$J$411,$D7,'25.04'!$K$7:$K$411,AB$3)</f>
        <v>0</v>
      </c>
      <c r="AC7" s="225">
        <f t="shared" si="3"/>
        <v>0</v>
      </c>
    </row>
    <row r="8">
      <c r="B8" s="237"/>
      <c r="C8" s="233">
        <v>45017.0</v>
      </c>
      <c r="D8" s="234" t="s">
        <v>62</v>
      </c>
      <c r="E8" s="235">
        <f>sumifs('25.04'!$H$7:$H$411,'25.04'!$G$7:$G$411,$D8,'25.04'!$F$7:$F$411,E$3)</f>
        <v>0</v>
      </c>
      <c r="F8" s="235">
        <f>sumifs('25.04'!$H$7:$H$411,'25.04'!$G$7:$G$411,$D8,'25.04'!$F$7:$F$411,F$3)</f>
        <v>0</v>
      </c>
      <c r="G8" s="235">
        <f>sumifs('25.04'!$H$7:$H$411,'25.04'!$G$7:$G$411,$D8,'25.04'!$F$7:$F$411,G$3)</f>
        <v>0</v>
      </c>
      <c r="H8" s="235">
        <f>sumifs('25.04'!$H$7:$H$411,'25.04'!$G$7:$G$411,$D8,'25.04'!$F$7:$F$411,H$3)</f>
        <v>0</v>
      </c>
      <c r="I8" s="235">
        <f>sumifs('25.04'!$H$7:$H$411,'25.04'!$G$7:$G$411,$D8,'25.04'!$F$7:$F$411,I$3)</f>
        <v>0</v>
      </c>
      <c r="J8" s="235">
        <f>sumifs('25.04'!$H$7:$H$411,'25.04'!$G$7:$G$411,$D8,'25.04'!$F$7:$F$411,J$3)</f>
        <v>0</v>
      </c>
      <c r="K8" s="235">
        <f>sumifs('25.04'!$H$7:$H$411,'25.04'!$G$7:$G$411,$D8,'25.04'!$F$7:$F$411,K$3)</f>
        <v>0</v>
      </c>
      <c r="L8" s="235">
        <f>sumifs('25.04'!$H$7:$H$411,'25.04'!$G$7:$G$411,$D8,'25.04'!$F$7:$F$411,L$3)</f>
        <v>0</v>
      </c>
      <c r="M8" s="235">
        <f>sumifs('25.04'!$H$7:$H$411,'25.04'!$G$7:$G$411,$D8,'25.04'!$F$7:$F$411,M$3)</f>
        <v>0</v>
      </c>
      <c r="N8" s="225">
        <f t="shared" si="1"/>
        <v>0</v>
      </c>
      <c r="O8" s="236"/>
      <c r="P8" s="236" t="str">
        <f t="shared" si="2"/>
        <v>#DIV/0!</v>
      </c>
      <c r="Q8" s="236"/>
      <c r="T8" s="235">
        <f>sumifs('25.04'!$H$7:$H$411,'25.04'!$J$7:$J$411,$D8,'25.04'!$K$7:$K$411,T$3)</f>
        <v>0</v>
      </c>
      <c r="U8" s="235">
        <f>sumifs('25.04'!$H$7:$H$411,'25.04'!$J$7:$J$411,$D8,'25.04'!$K$7:$K$411,U$3)</f>
        <v>0</v>
      </c>
      <c r="V8" s="235">
        <f>sumifs('25.04'!$H$7:$H$411,'25.04'!$J$7:$J$411,$D8,'25.04'!$K$7:$K$411,V$3)</f>
        <v>0</v>
      </c>
      <c r="W8" s="235">
        <f>sumifs('25.04'!$H$7:$H$411,'25.04'!$J$7:$J$411,$D8,'25.04'!$K$7:$K$411,W$3)</f>
        <v>0</v>
      </c>
      <c r="X8" s="235">
        <f>sumifs('25.04'!$H$7:$H$411,'25.04'!$J$7:$J$411,$D8,'25.04'!$K$7:$K$411,X$3)</f>
        <v>0</v>
      </c>
      <c r="Y8" s="235">
        <f>sumifs('25.04'!$H$7:$H$411,'25.04'!$J$7:$J$411,$D8,'25.04'!$K$7:$K$411,Y$3)</f>
        <v>0</v>
      </c>
      <c r="Z8" s="235">
        <f>sumifs('25.04'!$H$7:$H$411,'25.04'!$J$7:$J$411,$D8,'25.04'!$K$7:$K$411,Z$3)</f>
        <v>0</v>
      </c>
      <c r="AA8" s="235">
        <f>sumifs('25.04'!$H$7:$H$411,'25.04'!$J$7:$J$411,$D8,'25.04'!$K$7:$K$411,AA$3)</f>
        <v>0</v>
      </c>
      <c r="AB8" s="235">
        <f>sumifs('25.04'!$H$7:$H$411,'25.04'!$J$7:$J$411,$D8,'25.04'!$K$7:$K$411,AB$3)</f>
        <v>0</v>
      </c>
      <c r="AC8" s="225">
        <f t="shared" si="3"/>
        <v>0</v>
      </c>
    </row>
    <row r="9">
      <c r="B9" s="238"/>
      <c r="C9" s="239">
        <v>45047.0</v>
      </c>
      <c r="D9" s="240" t="s">
        <v>63</v>
      </c>
      <c r="E9" s="241">
        <f>sumifs('25.04'!$H$7:$H$411,'25.04'!$G$7:$G$411,$D9,'25.04'!$F$7:$F$411,E$3)</f>
        <v>0</v>
      </c>
      <c r="F9" s="241">
        <f>sumifs('25.04'!$H$7:$H$411,'25.04'!$G$7:$G$411,$D9,'25.04'!$F$7:$F$411,F$3)</f>
        <v>0</v>
      </c>
      <c r="G9" s="241">
        <f>sumifs('25.04'!$H$7:$H$411,'25.04'!$G$7:$G$411,$D9,'25.04'!$F$7:$F$411,G$3)</f>
        <v>0</v>
      </c>
      <c r="H9" s="241">
        <f>sumifs('25.04'!$H$7:$H$411,'25.04'!$G$7:$G$411,$D9,'25.04'!$F$7:$F$411,H$3)</f>
        <v>0</v>
      </c>
      <c r="I9" s="241">
        <f>sumifs('25.04'!$H$7:$H$411,'25.04'!$G$7:$G$411,$D9,'25.04'!$F$7:$F$411,I$3)</f>
        <v>0</v>
      </c>
      <c r="J9" s="241">
        <f>sumifs('25.04'!$H$7:$H$411,'25.04'!$G$7:$G$411,$D9,'25.04'!$F$7:$F$411,J$3)</f>
        <v>0</v>
      </c>
      <c r="K9" s="241">
        <f>sumifs('25.04'!$H$7:$H$411,'25.04'!$G$7:$G$411,$D9,'25.04'!$F$7:$F$411,K$3)</f>
        <v>0</v>
      </c>
      <c r="L9" s="241">
        <f>sumifs('25.04'!$H$7:$H$411,'25.04'!$G$7:$G$411,$D9,'25.04'!$F$7:$F$411,L$3)</f>
        <v>0</v>
      </c>
      <c r="M9" s="241">
        <f>sumifs('25.04'!$H$7:$H$411,'25.04'!$G$7:$G$411,$D9,'25.04'!$F$7:$F$411,M$3)</f>
        <v>0</v>
      </c>
      <c r="N9" s="225">
        <f t="shared" si="1"/>
        <v>0</v>
      </c>
      <c r="O9" s="236"/>
      <c r="P9" s="236" t="str">
        <f t="shared" si="2"/>
        <v>#DIV/0!</v>
      </c>
      <c r="Q9" s="236"/>
      <c r="T9" s="241">
        <f>sumifs('25.04'!$H$7:$H$411,'25.04'!$J$7:$J$411,$D9,'25.04'!$K$7:$K$411,T$3)</f>
        <v>0</v>
      </c>
      <c r="U9" s="241">
        <f>sumifs('25.04'!$H$7:$H$411,'25.04'!$J$7:$J$411,$D9,'25.04'!$K$7:$K$411,U$3)</f>
        <v>0</v>
      </c>
      <c r="V9" s="241">
        <f>sumifs('25.04'!$H$7:$H$411,'25.04'!$J$7:$J$411,$D9,'25.04'!$K$7:$K$411,V$3)</f>
        <v>0</v>
      </c>
      <c r="W9" s="241">
        <f>sumifs('25.04'!$H$7:$H$411,'25.04'!$J$7:$J$411,$D9,'25.04'!$K$7:$K$411,W$3)</f>
        <v>0</v>
      </c>
      <c r="X9" s="241">
        <f>sumifs('25.04'!$H$7:$H$411,'25.04'!$J$7:$J$411,$D9,'25.04'!$K$7:$K$411,X$3)</f>
        <v>0</v>
      </c>
      <c r="Y9" s="241">
        <f>sumifs('25.04'!$H$7:$H$411,'25.04'!$J$7:$J$411,$D9,'25.04'!$K$7:$K$411,Y$3)</f>
        <v>0</v>
      </c>
      <c r="Z9" s="241">
        <f>sumifs('25.04'!$H$7:$H$411,'25.04'!$J$7:$J$411,$D9,'25.04'!$K$7:$K$411,Z$3)</f>
        <v>0</v>
      </c>
      <c r="AA9" s="241">
        <f>sumifs('25.04'!$H$7:$H$411,'25.04'!$J$7:$J$411,$D9,'25.04'!$K$7:$K$411,AA$3)</f>
        <v>0</v>
      </c>
      <c r="AB9" s="241">
        <f>sumifs('25.04'!$H$7:$H$411,'25.04'!$J$7:$J$411,$D9,'25.04'!$K$7:$K$411,AB$3)</f>
        <v>0</v>
      </c>
      <c r="AC9" s="225">
        <f t="shared" si="3"/>
        <v>0</v>
      </c>
    </row>
    <row r="10">
      <c r="A10" s="225"/>
      <c r="B10" s="225"/>
      <c r="C10" s="226">
        <v>2.0</v>
      </c>
      <c r="D10" s="227" t="s">
        <v>64</v>
      </c>
      <c r="E10" s="228">
        <f>sumifs('25.04'!$H$7:$H$411,'25.04'!$G$7:$G$411,$D10,'25.04'!$F$7:$F$411,E$3)</f>
        <v>0</v>
      </c>
      <c r="F10" s="228">
        <f>sumifs('25.04'!$H$7:$H$411,'25.04'!$G$7:$G$411,$D10,'25.04'!$F$7:$F$411,F$3)</f>
        <v>0</v>
      </c>
      <c r="G10" s="228">
        <f>sumifs('25.04'!$H$7:$H$411,'25.04'!$G$7:$G$411,$D10,'25.04'!$F$7:$F$411,G$3)</f>
        <v>0</v>
      </c>
      <c r="H10" s="228">
        <f>sumifs('25.04'!$H$7:$H$411,'25.04'!$G$7:$G$411,$D10,'25.04'!$F$7:$F$411,H$3)</f>
        <v>0</v>
      </c>
      <c r="I10" s="228">
        <f>sumifs('25.04'!$H$7:$H$411,'25.04'!$G$7:$G$411,$D10,'25.04'!$F$7:$F$411,I$3)</f>
        <v>0</v>
      </c>
      <c r="J10" s="228">
        <f>sumifs('25.04'!$H$7:$H$411,'25.04'!$G$7:$G$411,$D10,'25.04'!$F$7:$F$411,J$3)</f>
        <v>0</v>
      </c>
      <c r="K10" s="228">
        <f>sumifs('25.04'!$H$7:$H$411,'25.04'!$G$7:$G$411,$D10,'25.04'!$F$7:$F$411,K$3)</f>
        <v>0</v>
      </c>
      <c r="L10" s="228">
        <f>sumifs('25.04'!$H$7:$H$411,'25.04'!$G$7:$G$411,$D10,'25.04'!$F$7:$F$411,L$3)</f>
        <v>0</v>
      </c>
      <c r="M10" s="228">
        <f>sumifs('25.04'!$H$7:$H$411,'25.04'!$G$7:$G$411,$D10,'25.04'!$F$7:$F$411,M$3)</f>
        <v>0</v>
      </c>
      <c r="N10" s="229">
        <f t="shared" si="1"/>
        <v>0</v>
      </c>
      <c r="O10" s="230"/>
      <c r="P10" s="230">
        <f t="shared" ref="P10:P16" si="4">N10/sum(N$10:N$16)</f>
        <v>0</v>
      </c>
      <c r="Q10" s="230"/>
      <c r="R10" s="231">
        <f>sum(N10:N16)</f>
        <v>320000</v>
      </c>
      <c r="S10" s="230">
        <f>R10/sum($R$4:$R$49)</f>
        <v>1</v>
      </c>
      <c r="T10" s="228">
        <f>sumifs('25.04'!$H$7:$H$411,'25.04'!$J$7:$J$411,$D10,'25.04'!$K$7:$K$411,T$3)</f>
        <v>0</v>
      </c>
      <c r="U10" s="228">
        <f>sumifs('25.04'!$H$7:$H$411,'25.04'!$J$7:$J$411,$D10,'25.04'!$K$7:$K$411,U$3)</f>
        <v>0</v>
      </c>
      <c r="V10" s="228">
        <f>sumifs('25.04'!$H$7:$H$411,'25.04'!$J$7:$J$411,$D10,'25.04'!$K$7:$K$411,V$3)</f>
        <v>0</v>
      </c>
      <c r="W10" s="228">
        <f>sumifs('25.04'!$H$7:$H$411,'25.04'!$J$7:$J$411,$D10,'25.04'!$K$7:$K$411,W$3)</f>
        <v>0</v>
      </c>
      <c r="X10" s="228">
        <f>sumifs('25.04'!$H$7:$H$411,'25.04'!$J$7:$J$411,$D10,'25.04'!$K$7:$K$411,X$3)</f>
        <v>0</v>
      </c>
      <c r="Y10" s="228">
        <f>sumifs('25.04'!$H$7:$H$411,'25.04'!$J$7:$J$411,$D10,'25.04'!$K$7:$K$411,Y$3)</f>
        <v>0</v>
      </c>
      <c r="Z10" s="228">
        <f>sumifs('25.04'!$H$7:$H$411,'25.04'!$J$7:$J$411,$D10,'25.04'!$K$7:$K$411,Z$3)</f>
        <v>0</v>
      </c>
      <c r="AA10" s="228">
        <f>sumifs('25.04'!$H$7:$H$411,'25.04'!$J$7:$J$411,$D10,'25.04'!$K$7:$K$411,AA$3)</f>
        <v>0</v>
      </c>
      <c r="AB10" s="228">
        <f>sumifs('25.04'!$H$7:$H$411,'25.04'!$J$7:$J$411,$D10,'25.04'!$K$7:$K$411,AB$3)</f>
        <v>0</v>
      </c>
      <c r="AC10" s="229">
        <f t="shared" si="3"/>
        <v>0</v>
      </c>
    </row>
    <row r="11">
      <c r="A11" s="225">
        <v>2.0</v>
      </c>
      <c r="B11" s="232" t="s">
        <v>64</v>
      </c>
      <c r="C11" s="233">
        <v>44928.0</v>
      </c>
      <c r="D11" s="234" t="s">
        <v>65</v>
      </c>
      <c r="E11" s="235">
        <f>sumifs('25.04'!$H$7:$H$411,'25.04'!$G$7:$G$411,$D11,'25.04'!$F$7:$F$411,E$3)</f>
        <v>0</v>
      </c>
      <c r="F11" s="235">
        <f>sumifs('25.04'!$H$7:$H$411,'25.04'!$G$7:$G$411,$D11,'25.04'!$F$7:$F$411,F$3)</f>
        <v>0</v>
      </c>
      <c r="G11" s="235">
        <f>sumifs('25.04'!$H$7:$H$411,'25.04'!$G$7:$G$411,$D11,'25.04'!$F$7:$F$411,G$3)</f>
        <v>0</v>
      </c>
      <c r="H11" s="235">
        <f>sumifs('25.04'!$H$7:$H$411,'25.04'!$G$7:$G$411,$D11,'25.04'!$F$7:$F$411,H$3)</f>
        <v>0</v>
      </c>
      <c r="I11" s="235">
        <f>sumifs('25.04'!$H$7:$H$411,'25.04'!$G$7:$G$411,$D11,'25.04'!$F$7:$F$411,I$3)</f>
        <v>0</v>
      </c>
      <c r="J11" s="235">
        <f>sumifs('25.04'!$H$7:$H$411,'25.04'!$G$7:$G$411,$D11,'25.04'!$F$7:$F$411,J$3)</f>
        <v>0</v>
      </c>
      <c r="K11" s="235">
        <f>sumifs('25.04'!$H$7:$H$411,'25.04'!$G$7:$G$411,$D11,'25.04'!$F$7:$F$411,K$3)</f>
        <v>0</v>
      </c>
      <c r="L11" s="235">
        <f>sumifs('25.04'!$H$7:$H$411,'25.04'!$G$7:$G$411,$D11,'25.04'!$F$7:$F$411,L$3)</f>
        <v>0</v>
      </c>
      <c r="M11" s="235">
        <f>sumifs('25.04'!$H$7:$H$411,'25.04'!$G$7:$G$411,$D11,'25.04'!$F$7:$F$411,M$3)</f>
        <v>0</v>
      </c>
      <c r="N11" s="225">
        <f t="shared" si="1"/>
        <v>0</v>
      </c>
      <c r="O11" s="236"/>
      <c r="P11" s="236">
        <f t="shared" si="4"/>
        <v>0</v>
      </c>
      <c r="Q11" s="236"/>
      <c r="T11" s="235">
        <f>sumifs('25.04'!$H$7:$H$411,'25.04'!$J$7:$J$411,$D11,'25.04'!$K$7:$K$411,T$3)</f>
        <v>0</v>
      </c>
      <c r="U11" s="235">
        <f>sumifs('25.04'!$H$7:$H$411,'25.04'!$J$7:$J$411,$D11,'25.04'!$K$7:$K$411,U$3)</f>
        <v>0</v>
      </c>
      <c r="V11" s="235">
        <f>sumifs('25.04'!$H$7:$H$411,'25.04'!$J$7:$J$411,$D11,'25.04'!$K$7:$K$411,V$3)</f>
        <v>0</v>
      </c>
      <c r="W11" s="235">
        <f>sumifs('25.04'!$H$7:$H$411,'25.04'!$J$7:$J$411,$D11,'25.04'!$K$7:$K$411,W$3)</f>
        <v>0</v>
      </c>
      <c r="X11" s="235">
        <f>sumifs('25.04'!$H$7:$H$411,'25.04'!$J$7:$J$411,$D11,'25.04'!$K$7:$K$411,X$3)</f>
        <v>0</v>
      </c>
      <c r="Y11" s="235">
        <f>sumifs('25.04'!$H$7:$H$411,'25.04'!$J$7:$J$411,$D11,'25.04'!$K$7:$K$411,Y$3)</f>
        <v>0</v>
      </c>
      <c r="Z11" s="235">
        <f>sumifs('25.04'!$H$7:$H$411,'25.04'!$J$7:$J$411,$D11,'25.04'!$K$7:$K$411,Z$3)</f>
        <v>0</v>
      </c>
      <c r="AA11" s="235">
        <f>sumifs('25.04'!$H$7:$H$411,'25.04'!$J$7:$J$411,$D11,'25.04'!$K$7:$K$411,AA$3)</f>
        <v>0</v>
      </c>
      <c r="AB11" s="235">
        <f>sumifs('25.04'!$H$7:$H$411,'25.04'!$J$7:$J$411,$D11,'25.04'!$K$7:$K$411,AB$3)</f>
        <v>0</v>
      </c>
      <c r="AC11" s="225">
        <f t="shared" si="3"/>
        <v>0</v>
      </c>
    </row>
    <row r="12">
      <c r="B12" s="237"/>
      <c r="C12" s="233">
        <v>44959.0</v>
      </c>
      <c r="D12" s="234" t="s">
        <v>29</v>
      </c>
      <c r="E12" s="235">
        <f>sumifs('25.04'!$H$7:$H$411,'25.04'!$G$7:$G$411,$D12,'25.04'!$F$7:$F$411,E$3)</f>
        <v>320000</v>
      </c>
      <c r="F12" s="235">
        <f>sumifs('25.04'!$H$7:$H$411,'25.04'!$G$7:$G$411,$D12,'25.04'!$F$7:$F$411,F$3)</f>
        <v>0</v>
      </c>
      <c r="G12" s="235">
        <f>sumifs('25.04'!$H$7:$H$411,'25.04'!$G$7:$G$411,$D12,'25.04'!$F$7:$F$411,G$3)</f>
        <v>0</v>
      </c>
      <c r="H12" s="235">
        <f>sumifs('25.04'!$H$7:$H$411,'25.04'!$G$7:$G$411,$D12,'25.04'!$F$7:$F$411,H$3)</f>
        <v>0</v>
      </c>
      <c r="I12" s="235">
        <f>sumifs('25.04'!$H$7:$H$411,'25.04'!$G$7:$G$411,$D12,'25.04'!$F$7:$F$411,I$3)</f>
        <v>0</v>
      </c>
      <c r="J12" s="235">
        <f>sumifs('25.04'!$H$7:$H$411,'25.04'!$G$7:$G$411,$D12,'25.04'!$F$7:$F$411,J$3)</f>
        <v>0</v>
      </c>
      <c r="K12" s="235">
        <f>sumifs('25.04'!$H$7:$H$411,'25.04'!$G$7:$G$411,$D12,'25.04'!$F$7:$F$411,K$3)</f>
        <v>0</v>
      </c>
      <c r="L12" s="235">
        <f>sumifs('25.04'!$H$7:$H$411,'25.04'!$G$7:$G$411,$D12,'25.04'!$F$7:$F$411,L$3)</f>
        <v>0</v>
      </c>
      <c r="M12" s="235">
        <f>sumifs('25.04'!$H$7:$H$411,'25.04'!$G$7:$G$411,$D12,'25.04'!$F$7:$F$411,M$3)</f>
        <v>0</v>
      </c>
      <c r="N12" s="225">
        <f t="shared" si="1"/>
        <v>320000</v>
      </c>
      <c r="O12" s="236"/>
      <c r="P12" s="236">
        <f t="shared" si="4"/>
        <v>1</v>
      </c>
      <c r="Q12" s="236"/>
      <c r="T12" s="235">
        <f>sumifs('25.04'!$H$7:$H$411,'25.04'!$J$7:$J$411,$D12,'25.04'!$K$7:$K$411,T$3)</f>
        <v>0</v>
      </c>
      <c r="U12" s="235">
        <f>sumifs('25.04'!$H$7:$H$411,'25.04'!$J$7:$J$411,$D12,'25.04'!$K$7:$K$411,U$3)</f>
        <v>0</v>
      </c>
      <c r="V12" s="235">
        <f>sumifs('25.04'!$H$7:$H$411,'25.04'!$J$7:$J$411,$D12,'25.04'!$K$7:$K$411,V$3)</f>
        <v>0</v>
      </c>
      <c r="W12" s="235">
        <f>sumifs('25.04'!$H$7:$H$411,'25.04'!$J$7:$J$411,$D12,'25.04'!$K$7:$K$411,W$3)</f>
        <v>0</v>
      </c>
      <c r="X12" s="235">
        <f>sumifs('25.04'!$H$7:$H$411,'25.04'!$J$7:$J$411,$D12,'25.04'!$K$7:$K$411,X$3)</f>
        <v>0</v>
      </c>
      <c r="Y12" s="235">
        <f>sumifs('25.04'!$H$7:$H$411,'25.04'!$J$7:$J$411,$D12,'25.04'!$K$7:$K$411,Y$3)</f>
        <v>0</v>
      </c>
      <c r="Z12" s="235">
        <f>sumifs('25.04'!$H$7:$H$411,'25.04'!$J$7:$J$411,$D12,'25.04'!$K$7:$K$411,Z$3)</f>
        <v>0</v>
      </c>
      <c r="AA12" s="235">
        <f>sumifs('25.04'!$H$7:$H$411,'25.04'!$J$7:$J$411,$D12,'25.04'!$K$7:$K$411,AA$3)</f>
        <v>0</v>
      </c>
      <c r="AB12" s="235">
        <f>sumifs('25.04'!$H$7:$H$411,'25.04'!$J$7:$J$411,$D12,'25.04'!$K$7:$K$411,AB$3)</f>
        <v>0</v>
      </c>
      <c r="AC12" s="225">
        <f t="shared" si="3"/>
        <v>0</v>
      </c>
    </row>
    <row r="13">
      <c r="B13" s="237"/>
      <c r="C13" s="233">
        <v>44987.0</v>
      </c>
      <c r="D13" s="234" t="s">
        <v>66</v>
      </c>
      <c r="E13" s="235">
        <f>sumifs('25.04'!$H$7:$H$411,'25.04'!$G$7:$G$411,$D13,'25.04'!$F$7:$F$411,E$3)</f>
        <v>0</v>
      </c>
      <c r="F13" s="235">
        <f>sumifs('25.04'!$H$7:$H$411,'25.04'!$G$7:$G$411,$D13,'25.04'!$F$7:$F$411,F$3)</f>
        <v>0</v>
      </c>
      <c r="G13" s="235">
        <f>sumifs('25.04'!$H$7:$H$411,'25.04'!$G$7:$G$411,$D13,'25.04'!$F$7:$F$411,G$3)</f>
        <v>0</v>
      </c>
      <c r="H13" s="235">
        <f>sumifs('25.04'!$H$7:$H$411,'25.04'!$G$7:$G$411,$D13,'25.04'!$F$7:$F$411,H$3)</f>
        <v>0</v>
      </c>
      <c r="I13" s="235">
        <f>sumifs('25.04'!$H$7:$H$411,'25.04'!$G$7:$G$411,$D13,'25.04'!$F$7:$F$411,I$3)</f>
        <v>0</v>
      </c>
      <c r="J13" s="235">
        <f>sumifs('25.04'!$H$7:$H$411,'25.04'!$G$7:$G$411,$D13,'25.04'!$F$7:$F$411,J$3)</f>
        <v>0</v>
      </c>
      <c r="K13" s="235">
        <f>sumifs('25.04'!$H$7:$H$411,'25.04'!$G$7:$G$411,$D13,'25.04'!$F$7:$F$411,K$3)</f>
        <v>0</v>
      </c>
      <c r="L13" s="235">
        <f>sumifs('25.04'!$H$7:$H$411,'25.04'!$G$7:$G$411,$D13,'25.04'!$F$7:$F$411,L$3)</f>
        <v>0</v>
      </c>
      <c r="M13" s="235">
        <f>sumifs('25.04'!$H$7:$H$411,'25.04'!$G$7:$G$411,$D13,'25.04'!$F$7:$F$411,M$3)</f>
        <v>0</v>
      </c>
      <c r="N13" s="225">
        <f t="shared" si="1"/>
        <v>0</v>
      </c>
      <c r="O13" s="236"/>
      <c r="P13" s="236">
        <f t="shared" si="4"/>
        <v>0</v>
      </c>
      <c r="Q13" s="236"/>
      <c r="T13" s="235">
        <f>sumifs('25.04'!$H$7:$H$411,'25.04'!$J$7:$J$411,$D13,'25.04'!$K$7:$K$411,T$3)</f>
        <v>0</v>
      </c>
      <c r="U13" s="235">
        <f>sumifs('25.04'!$H$7:$H$411,'25.04'!$J$7:$J$411,$D13,'25.04'!$K$7:$K$411,U$3)</f>
        <v>0</v>
      </c>
      <c r="V13" s="235">
        <f>sumifs('25.04'!$H$7:$H$411,'25.04'!$J$7:$J$411,$D13,'25.04'!$K$7:$K$411,V$3)</f>
        <v>0</v>
      </c>
      <c r="W13" s="235">
        <f>sumifs('25.04'!$H$7:$H$411,'25.04'!$J$7:$J$411,$D13,'25.04'!$K$7:$K$411,W$3)</f>
        <v>0</v>
      </c>
      <c r="X13" s="235">
        <f>sumifs('25.04'!$H$7:$H$411,'25.04'!$J$7:$J$411,$D13,'25.04'!$K$7:$K$411,X$3)</f>
        <v>0</v>
      </c>
      <c r="Y13" s="235">
        <f>sumifs('25.04'!$H$7:$H$411,'25.04'!$J$7:$J$411,$D13,'25.04'!$K$7:$K$411,Y$3)</f>
        <v>0</v>
      </c>
      <c r="Z13" s="235">
        <f>sumifs('25.04'!$H$7:$H$411,'25.04'!$J$7:$J$411,$D13,'25.04'!$K$7:$K$411,Z$3)</f>
        <v>0</v>
      </c>
      <c r="AA13" s="235">
        <f>sumifs('25.04'!$H$7:$H$411,'25.04'!$J$7:$J$411,$D13,'25.04'!$K$7:$K$411,AA$3)</f>
        <v>0</v>
      </c>
      <c r="AB13" s="235">
        <f>sumifs('25.04'!$H$7:$H$411,'25.04'!$J$7:$J$411,$D13,'25.04'!$K$7:$K$411,AB$3)</f>
        <v>0</v>
      </c>
      <c r="AC13" s="225">
        <f t="shared" si="3"/>
        <v>0</v>
      </c>
    </row>
    <row r="14">
      <c r="B14" s="237"/>
      <c r="C14" s="233">
        <v>45018.0</v>
      </c>
      <c r="D14" s="234" t="s">
        <v>67</v>
      </c>
      <c r="E14" s="235">
        <f>sumifs('25.04'!$H$7:$H$411,'25.04'!$G$7:$G$411,$D14,'25.04'!$F$7:$F$411,E$3)</f>
        <v>0</v>
      </c>
      <c r="F14" s="235">
        <f>sumifs('25.04'!$H$7:$H$411,'25.04'!$G$7:$G$411,$D14,'25.04'!$F$7:$F$411,F$3)</f>
        <v>0</v>
      </c>
      <c r="G14" s="235">
        <f>sumifs('25.04'!$H$7:$H$411,'25.04'!$G$7:$G$411,$D14,'25.04'!$F$7:$F$411,G$3)</f>
        <v>0</v>
      </c>
      <c r="H14" s="235">
        <f>sumifs('25.04'!$H$7:$H$411,'25.04'!$G$7:$G$411,$D14,'25.04'!$F$7:$F$411,H$3)</f>
        <v>0</v>
      </c>
      <c r="I14" s="235">
        <f>sumifs('25.04'!$H$7:$H$411,'25.04'!$G$7:$G$411,$D14,'25.04'!$F$7:$F$411,I$3)</f>
        <v>0</v>
      </c>
      <c r="J14" s="235">
        <f>sumifs('25.04'!$H$7:$H$411,'25.04'!$G$7:$G$411,$D14,'25.04'!$F$7:$F$411,J$3)</f>
        <v>0</v>
      </c>
      <c r="K14" s="235">
        <f>sumifs('25.04'!$H$7:$H$411,'25.04'!$G$7:$G$411,$D14,'25.04'!$F$7:$F$411,K$3)</f>
        <v>0</v>
      </c>
      <c r="L14" s="235">
        <f>sumifs('25.04'!$H$7:$H$411,'25.04'!$G$7:$G$411,$D14,'25.04'!$F$7:$F$411,L$3)</f>
        <v>0</v>
      </c>
      <c r="M14" s="235">
        <f>sumifs('25.04'!$H$7:$H$411,'25.04'!$G$7:$G$411,$D14,'25.04'!$F$7:$F$411,M$3)</f>
        <v>0</v>
      </c>
      <c r="N14" s="225">
        <f t="shared" si="1"/>
        <v>0</v>
      </c>
      <c r="O14" s="236"/>
      <c r="P14" s="236">
        <f t="shared" si="4"/>
        <v>0</v>
      </c>
      <c r="Q14" s="236"/>
      <c r="T14" s="235">
        <f>sumifs('25.04'!$H$7:$H$411,'25.04'!$J$7:$J$411,$D14,'25.04'!$K$7:$K$411,T$3)</f>
        <v>0</v>
      </c>
      <c r="U14" s="235">
        <f>sumifs('25.04'!$H$7:$H$411,'25.04'!$J$7:$J$411,$D14,'25.04'!$K$7:$K$411,U$3)</f>
        <v>0</v>
      </c>
      <c r="V14" s="235">
        <f>sumifs('25.04'!$H$7:$H$411,'25.04'!$J$7:$J$411,$D14,'25.04'!$K$7:$K$411,V$3)</f>
        <v>0</v>
      </c>
      <c r="W14" s="235">
        <f>sumifs('25.04'!$H$7:$H$411,'25.04'!$J$7:$J$411,$D14,'25.04'!$K$7:$K$411,W$3)</f>
        <v>0</v>
      </c>
      <c r="X14" s="235">
        <f>sumifs('25.04'!$H$7:$H$411,'25.04'!$J$7:$J$411,$D14,'25.04'!$K$7:$K$411,X$3)</f>
        <v>0</v>
      </c>
      <c r="Y14" s="235">
        <f>sumifs('25.04'!$H$7:$H$411,'25.04'!$J$7:$J$411,$D14,'25.04'!$K$7:$K$411,Y$3)</f>
        <v>0</v>
      </c>
      <c r="Z14" s="235">
        <f>sumifs('25.04'!$H$7:$H$411,'25.04'!$J$7:$J$411,$D14,'25.04'!$K$7:$K$411,Z$3)</f>
        <v>0</v>
      </c>
      <c r="AA14" s="235">
        <f>sumifs('25.04'!$H$7:$H$411,'25.04'!$J$7:$J$411,$D14,'25.04'!$K$7:$K$411,AA$3)</f>
        <v>0</v>
      </c>
      <c r="AB14" s="235">
        <f>sumifs('25.04'!$H$7:$H$411,'25.04'!$J$7:$J$411,$D14,'25.04'!$K$7:$K$411,AB$3)</f>
        <v>0</v>
      </c>
      <c r="AC14" s="225">
        <f t="shared" si="3"/>
        <v>0</v>
      </c>
    </row>
    <row r="15">
      <c r="B15" s="237"/>
      <c r="C15" s="233">
        <v>45048.0</v>
      </c>
      <c r="D15" s="234" t="s">
        <v>68</v>
      </c>
      <c r="E15" s="235">
        <f>sumifs('25.04'!$H$7:$H$411,'25.04'!$G$7:$G$411,$D15,'25.04'!$F$7:$F$411,E$3)</f>
        <v>0</v>
      </c>
      <c r="F15" s="235">
        <f>sumifs('25.04'!$H$7:$H$411,'25.04'!$G$7:$G$411,$D15,'25.04'!$F$7:$F$411,F$3)</f>
        <v>0</v>
      </c>
      <c r="G15" s="235">
        <f>sumifs('25.04'!$H$7:$H$411,'25.04'!$G$7:$G$411,$D15,'25.04'!$F$7:$F$411,G$3)</f>
        <v>0</v>
      </c>
      <c r="H15" s="235">
        <f>sumifs('25.04'!$H$7:$H$411,'25.04'!$G$7:$G$411,$D15,'25.04'!$F$7:$F$411,H$3)</f>
        <v>0</v>
      </c>
      <c r="I15" s="235">
        <f>sumifs('25.04'!$H$7:$H$411,'25.04'!$G$7:$G$411,$D15,'25.04'!$F$7:$F$411,I$3)</f>
        <v>0</v>
      </c>
      <c r="J15" s="235">
        <f>sumifs('25.04'!$H$7:$H$411,'25.04'!$G$7:$G$411,$D15,'25.04'!$F$7:$F$411,J$3)</f>
        <v>0</v>
      </c>
      <c r="K15" s="235">
        <f>sumifs('25.04'!$H$7:$H$411,'25.04'!$G$7:$G$411,$D15,'25.04'!$F$7:$F$411,K$3)</f>
        <v>0</v>
      </c>
      <c r="L15" s="235">
        <f>sumifs('25.04'!$H$7:$H$411,'25.04'!$G$7:$G$411,$D15,'25.04'!$F$7:$F$411,L$3)</f>
        <v>0</v>
      </c>
      <c r="M15" s="235">
        <f>sumifs('25.04'!$H$7:$H$411,'25.04'!$G$7:$G$411,$D15,'25.04'!$F$7:$F$411,M$3)</f>
        <v>0</v>
      </c>
      <c r="N15" s="225">
        <f t="shared" si="1"/>
        <v>0</v>
      </c>
      <c r="O15" s="236"/>
      <c r="P15" s="236">
        <f t="shared" si="4"/>
        <v>0</v>
      </c>
      <c r="Q15" s="236"/>
      <c r="T15" s="235">
        <f>sumifs('25.04'!$H$7:$H$411,'25.04'!$J$7:$J$411,$D15,'25.04'!$K$7:$K$411,T$3)</f>
        <v>0</v>
      </c>
      <c r="U15" s="235">
        <f>sumifs('25.04'!$H$7:$H$411,'25.04'!$J$7:$J$411,$D15,'25.04'!$K$7:$K$411,U$3)</f>
        <v>0</v>
      </c>
      <c r="V15" s="235">
        <f>sumifs('25.04'!$H$7:$H$411,'25.04'!$J$7:$J$411,$D15,'25.04'!$K$7:$K$411,V$3)</f>
        <v>0</v>
      </c>
      <c r="W15" s="235">
        <f>sumifs('25.04'!$H$7:$H$411,'25.04'!$J$7:$J$411,$D15,'25.04'!$K$7:$K$411,W$3)</f>
        <v>0</v>
      </c>
      <c r="X15" s="235">
        <f>sumifs('25.04'!$H$7:$H$411,'25.04'!$J$7:$J$411,$D15,'25.04'!$K$7:$K$411,X$3)</f>
        <v>0</v>
      </c>
      <c r="Y15" s="235">
        <f>sumifs('25.04'!$H$7:$H$411,'25.04'!$J$7:$J$411,$D15,'25.04'!$K$7:$K$411,Y$3)</f>
        <v>0</v>
      </c>
      <c r="Z15" s="235">
        <f>sumifs('25.04'!$H$7:$H$411,'25.04'!$J$7:$J$411,$D15,'25.04'!$K$7:$K$411,Z$3)</f>
        <v>0</v>
      </c>
      <c r="AA15" s="235">
        <f>sumifs('25.04'!$H$7:$H$411,'25.04'!$J$7:$J$411,$D15,'25.04'!$K$7:$K$411,AA$3)</f>
        <v>0</v>
      </c>
      <c r="AB15" s="235">
        <f>sumifs('25.04'!$H$7:$H$411,'25.04'!$J$7:$J$411,$D15,'25.04'!$K$7:$K$411,AB$3)</f>
        <v>0</v>
      </c>
      <c r="AC15" s="225">
        <f t="shared" si="3"/>
        <v>0</v>
      </c>
    </row>
    <row r="16">
      <c r="B16" s="238"/>
      <c r="C16" s="239">
        <v>45079.0</v>
      </c>
      <c r="D16" s="240" t="s">
        <v>69</v>
      </c>
      <c r="E16" s="241">
        <f>sumifs('25.04'!$H$7:$H$411,'25.04'!$G$7:$G$411,$D16,'25.04'!$F$7:$F$411,E$3)</f>
        <v>0</v>
      </c>
      <c r="F16" s="241">
        <f>sumifs('25.04'!$H$7:$H$411,'25.04'!$G$7:$G$411,$D16,'25.04'!$F$7:$F$411,F$3)</f>
        <v>0</v>
      </c>
      <c r="G16" s="241">
        <f>sumifs('25.04'!$H$7:$H$411,'25.04'!$G$7:$G$411,$D16,'25.04'!$F$7:$F$411,G$3)</f>
        <v>0</v>
      </c>
      <c r="H16" s="241">
        <f>sumifs('25.04'!$H$7:$H$411,'25.04'!$G$7:$G$411,$D16,'25.04'!$F$7:$F$411,H$3)</f>
        <v>0</v>
      </c>
      <c r="I16" s="241">
        <f>sumifs('25.04'!$H$7:$H$411,'25.04'!$G$7:$G$411,$D16,'25.04'!$F$7:$F$411,I$3)</f>
        <v>0</v>
      </c>
      <c r="J16" s="241">
        <f>sumifs('25.04'!$H$7:$H$411,'25.04'!$G$7:$G$411,$D16,'25.04'!$F$7:$F$411,J$3)</f>
        <v>0</v>
      </c>
      <c r="K16" s="241">
        <f>sumifs('25.04'!$H$7:$H$411,'25.04'!$G$7:$G$411,$D16,'25.04'!$F$7:$F$411,K$3)</f>
        <v>0</v>
      </c>
      <c r="L16" s="241">
        <f>sumifs('25.04'!$H$7:$H$411,'25.04'!$G$7:$G$411,$D16,'25.04'!$F$7:$F$411,L$3)</f>
        <v>0</v>
      </c>
      <c r="M16" s="241">
        <f>sumifs('25.04'!$H$7:$H$411,'25.04'!$G$7:$G$411,$D16,'25.04'!$F$7:$F$411,M$3)</f>
        <v>0</v>
      </c>
      <c r="N16" s="225">
        <f t="shared" si="1"/>
        <v>0</v>
      </c>
      <c r="O16" s="236"/>
      <c r="P16" s="236">
        <f t="shared" si="4"/>
        <v>0</v>
      </c>
      <c r="Q16" s="236"/>
      <c r="T16" s="241">
        <f>sumifs('25.04'!$H$7:$H$411,'25.04'!$J$7:$J$411,$D16,'25.04'!$K$7:$K$411,T$3)</f>
        <v>0</v>
      </c>
      <c r="U16" s="241">
        <f>sumifs('25.04'!$H$7:$H$411,'25.04'!$J$7:$J$411,$D16,'25.04'!$K$7:$K$411,U$3)</f>
        <v>0</v>
      </c>
      <c r="V16" s="241">
        <f>sumifs('25.04'!$H$7:$H$411,'25.04'!$J$7:$J$411,$D16,'25.04'!$K$7:$K$411,V$3)</f>
        <v>0</v>
      </c>
      <c r="W16" s="241">
        <f>sumifs('25.04'!$H$7:$H$411,'25.04'!$J$7:$J$411,$D16,'25.04'!$K$7:$K$411,W$3)</f>
        <v>0</v>
      </c>
      <c r="X16" s="241">
        <f>sumifs('25.04'!$H$7:$H$411,'25.04'!$J$7:$J$411,$D16,'25.04'!$K$7:$K$411,X$3)</f>
        <v>0</v>
      </c>
      <c r="Y16" s="241">
        <f>sumifs('25.04'!$H$7:$H$411,'25.04'!$J$7:$J$411,$D16,'25.04'!$K$7:$K$411,Y$3)</f>
        <v>0</v>
      </c>
      <c r="Z16" s="241">
        <f>sumifs('25.04'!$H$7:$H$411,'25.04'!$J$7:$J$411,$D16,'25.04'!$K$7:$K$411,Z$3)</f>
        <v>0</v>
      </c>
      <c r="AA16" s="241">
        <f>sumifs('25.04'!$H$7:$H$411,'25.04'!$J$7:$J$411,$D16,'25.04'!$K$7:$K$411,AA$3)</f>
        <v>0</v>
      </c>
      <c r="AB16" s="241">
        <f>sumifs('25.04'!$H$7:$H$411,'25.04'!$J$7:$J$411,$D16,'25.04'!$K$7:$K$411,AB$3)</f>
        <v>0</v>
      </c>
      <c r="AC16" s="225">
        <f t="shared" si="3"/>
        <v>0</v>
      </c>
    </row>
    <row r="17">
      <c r="A17" s="225"/>
      <c r="B17" s="225"/>
      <c r="C17" s="226">
        <v>3.0</v>
      </c>
      <c r="D17" s="227" t="s">
        <v>70</v>
      </c>
      <c r="E17" s="228">
        <f>sumifs('25.04'!$H$7:$H$411,'25.04'!$G$7:$G$411,$D17,'25.04'!$F$7:$F$411,E$3)</f>
        <v>0</v>
      </c>
      <c r="F17" s="228">
        <f>sumifs('25.04'!$H$7:$H$411,'25.04'!$G$7:$G$411,$D17,'25.04'!$F$7:$F$411,F$3)</f>
        <v>0</v>
      </c>
      <c r="G17" s="228">
        <f>sumifs('25.04'!$H$7:$H$411,'25.04'!$G$7:$G$411,$D17,'25.04'!$F$7:$F$411,G$3)</f>
        <v>0</v>
      </c>
      <c r="H17" s="228">
        <f>sumifs('25.04'!$H$7:$H$411,'25.04'!$G$7:$G$411,$D17,'25.04'!$F$7:$F$411,H$3)</f>
        <v>0</v>
      </c>
      <c r="I17" s="228">
        <f>sumifs('25.04'!$H$7:$H$411,'25.04'!$G$7:$G$411,$D17,'25.04'!$F$7:$F$411,I$3)</f>
        <v>0</v>
      </c>
      <c r="J17" s="228">
        <f>sumifs('25.04'!$H$7:$H$411,'25.04'!$G$7:$G$411,$D17,'25.04'!$F$7:$F$411,J$3)</f>
        <v>0</v>
      </c>
      <c r="K17" s="228">
        <f>sumifs('25.04'!$H$7:$H$411,'25.04'!$G$7:$G$411,$D17,'25.04'!$F$7:$F$411,K$3)</f>
        <v>0</v>
      </c>
      <c r="L17" s="228">
        <f>sumifs('25.04'!$H$7:$H$411,'25.04'!$G$7:$G$411,$D17,'25.04'!$F$7:$F$411,L$3)</f>
        <v>0</v>
      </c>
      <c r="M17" s="228">
        <f>sumifs('25.04'!$H$7:$H$411,'25.04'!$G$7:$G$411,$D17,'25.04'!$F$7:$F$411,M$3)</f>
        <v>0</v>
      </c>
      <c r="N17" s="229">
        <f t="shared" si="1"/>
        <v>0</v>
      </c>
      <c r="O17" s="230"/>
      <c r="P17" s="230" t="str">
        <f t="shared" ref="P17:P22" si="5">N17/sum(N$17:N$22)</f>
        <v>#DIV/0!</v>
      </c>
      <c r="Q17" s="230"/>
      <c r="R17" s="231">
        <f>sum(N17:N22)</f>
        <v>0</v>
      </c>
      <c r="S17" s="230">
        <f>R17/sum($R$4:$R$49)</f>
        <v>0</v>
      </c>
      <c r="T17" s="228">
        <f>sumifs('25.04'!$H$7:$H$411,'25.04'!$J$7:$J$411,$D17,'25.04'!$K$7:$K$411,T$3)</f>
        <v>0</v>
      </c>
      <c r="U17" s="228">
        <f>sumifs('25.04'!$H$7:$H$411,'25.04'!$J$7:$J$411,$D17,'25.04'!$K$7:$K$411,U$3)</f>
        <v>0</v>
      </c>
      <c r="V17" s="228">
        <f>sumifs('25.04'!$H$7:$H$411,'25.04'!$J$7:$J$411,$D17,'25.04'!$K$7:$K$411,V$3)</f>
        <v>0</v>
      </c>
      <c r="W17" s="228">
        <f>sumifs('25.04'!$H$7:$H$411,'25.04'!$J$7:$J$411,$D17,'25.04'!$K$7:$K$411,W$3)</f>
        <v>0</v>
      </c>
      <c r="X17" s="228">
        <f>sumifs('25.04'!$H$7:$H$411,'25.04'!$J$7:$J$411,$D17,'25.04'!$K$7:$K$411,X$3)</f>
        <v>0</v>
      </c>
      <c r="Y17" s="228">
        <f>sumifs('25.04'!$H$7:$H$411,'25.04'!$J$7:$J$411,$D17,'25.04'!$K$7:$K$411,Y$3)</f>
        <v>0</v>
      </c>
      <c r="Z17" s="228">
        <f>sumifs('25.04'!$H$7:$H$411,'25.04'!$J$7:$J$411,$D17,'25.04'!$K$7:$K$411,Z$3)</f>
        <v>0</v>
      </c>
      <c r="AA17" s="228">
        <f>sumifs('25.04'!$H$7:$H$411,'25.04'!$J$7:$J$411,$D17,'25.04'!$K$7:$K$411,AA$3)</f>
        <v>0</v>
      </c>
      <c r="AB17" s="228">
        <f>sumifs('25.04'!$H$7:$H$411,'25.04'!$J$7:$J$411,$D17,'25.04'!$K$7:$K$411,AB$3)</f>
        <v>0</v>
      </c>
      <c r="AC17" s="229">
        <f t="shared" si="3"/>
        <v>0</v>
      </c>
    </row>
    <row r="18">
      <c r="A18" s="225">
        <v>3.0</v>
      </c>
      <c r="B18" s="232" t="s">
        <v>70</v>
      </c>
      <c r="C18" s="233">
        <v>44929.0</v>
      </c>
      <c r="D18" s="234" t="s">
        <v>71</v>
      </c>
      <c r="E18" s="235">
        <f>sumifs('25.04'!$H$7:$H$411,'25.04'!$G$7:$G$411,$D18,'25.04'!$F$7:$F$411,E$3)</f>
        <v>0</v>
      </c>
      <c r="F18" s="235">
        <f>sumifs('25.04'!$H$7:$H$411,'25.04'!$G$7:$G$411,$D18,'25.04'!$F$7:$F$411,F$3)</f>
        <v>0</v>
      </c>
      <c r="G18" s="235">
        <f>sumifs('25.04'!$H$7:$H$411,'25.04'!$G$7:$G$411,$D18,'25.04'!$F$7:$F$411,G$3)</f>
        <v>0</v>
      </c>
      <c r="H18" s="235">
        <f>sumifs('25.04'!$H$7:$H$411,'25.04'!$G$7:$G$411,$D18,'25.04'!$F$7:$F$411,H$3)</f>
        <v>0</v>
      </c>
      <c r="I18" s="235">
        <f>sumifs('25.04'!$H$7:$H$411,'25.04'!$G$7:$G$411,$D18,'25.04'!$F$7:$F$411,I$3)</f>
        <v>0</v>
      </c>
      <c r="J18" s="235">
        <f>sumifs('25.04'!$H$7:$H$411,'25.04'!$G$7:$G$411,$D18,'25.04'!$F$7:$F$411,J$3)</f>
        <v>0</v>
      </c>
      <c r="K18" s="235">
        <f>sumifs('25.04'!$H$7:$H$411,'25.04'!$G$7:$G$411,$D18,'25.04'!$F$7:$F$411,K$3)</f>
        <v>0</v>
      </c>
      <c r="L18" s="235">
        <f>sumifs('25.04'!$H$7:$H$411,'25.04'!$G$7:$G$411,$D18,'25.04'!$F$7:$F$411,L$3)</f>
        <v>0</v>
      </c>
      <c r="M18" s="235">
        <f>sumifs('25.04'!$H$7:$H$411,'25.04'!$G$7:$G$411,$D18,'25.04'!$F$7:$F$411,M$3)</f>
        <v>0</v>
      </c>
      <c r="N18" s="225">
        <f t="shared" si="1"/>
        <v>0</v>
      </c>
      <c r="O18" s="236"/>
      <c r="P18" s="236" t="str">
        <f t="shared" si="5"/>
        <v>#DIV/0!</v>
      </c>
      <c r="Q18" s="236"/>
      <c r="T18" s="235">
        <f>sumifs('25.04'!$H$7:$H$411,'25.04'!$J$7:$J$411,$D18,'25.04'!$K$7:$K$411,T$3)</f>
        <v>0</v>
      </c>
      <c r="U18" s="235">
        <f>sumifs('25.04'!$H$7:$H$411,'25.04'!$J$7:$J$411,$D18,'25.04'!$K$7:$K$411,U$3)</f>
        <v>0</v>
      </c>
      <c r="V18" s="235">
        <f>sumifs('25.04'!$H$7:$H$411,'25.04'!$J$7:$J$411,$D18,'25.04'!$K$7:$K$411,V$3)</f>
        <v>0</v>
      </c>
      <c r="W18" s="235">
        <f>sumifs('25.04'!$H$7:$H$411,'25.04'!$J$7:$J$411,$D18,'25.04'!$K$7:$K$411,W$3)</f>
        <v>0</v>
      </c>
      <c r="X18" s="235">
        <f>sumifs('25.04'!$H$7:$H$411,'25.04'!$J$7:$J$411,$D18,'25.04'!$K$7:$K$411,X$3)</f>
        <v>0</v>
      </c>
      <c r="Y18" s="235">
        <f>sumifs('25.04'!$H$7:$H$411,'25.04'!$J$7:$J$411,$D18,'25.04'!$K$7:$K$411,Y$3)</f>
        <v>0</v>
      </c>
      <c r="Z18" s="235">
        <f>sumifs('25.04'!$H$7:$H$411,'25.04'!$J$7:$J$411,$D18,'25.04'!$K$7:$K$411,Z$3)</f>
        <v>0</v>
      </c>
      <c r="AA18" s="235">
        <f>sumifs('25.04'!$H$7:$H$411,'25.04'!$J$7:$J$411,$D18,'25.04'!$K$7:$K$411,AA$3)</f>
        <v>0</v>
      </c>
      <c r="AB18" s="235">
        <f>sumifs('25.04'!$H$7:$H$411,'25.04'!$J$7:$J$411,$D18,'25.04'!$K$7:$K$411,AB$3)</f>
        <v>0</v>
      </c>
      <c r="AC18" s="225">
        <f t="shared" si="3"/>
        <v>0</v>
      </c>
    </row>
    <row r="19">
      <c r="B19" s="237"/>
      <c r="C19" s="233">
        <v>44960.0</v>
      </c>
      <c r="D19" s="234" t="s">
        <v>72</v>
      </c>
      <c r="E19" s="235">
        <f>sumifs('25.04'!$H$7:$H$411,'25.04'!$G$7:$G$411,$D19,'25.04'!$F$7:$F$411,E$3)</f>
        <v>0</v>
      </c>
      <c r="F19" s="235">
        <f>sumifs('25.04'!$H$7:$H$411,'25.04'!$G$7:$G$411,$D19,'25.04'!$F$7:$F$411,F$3)</f>
        <v>0</v>
      </c>
      <c r="G19" s="235">
        <f>sumifs('25.04'!$H$7:$H$411,'25.04'!$G$7:$G$411,$D19,'25.04'!$F$7:$F$411,G$3)</f>
        <v>0</v>
      </c>
      <c r="H19" s="235">
        <f>sumifs('25.04'!$H$7:$H$411,'25.04'!$G$7:$G$411,$D19,'25.04'!$F$7:$F$411,H$3)</f>
        <v>0</v>
      </c>
      <c r="I19" s="235">
        <f>sumifs('25.04'!$H$7:$H$411,'25.04'!$G$7:$G$411,$D19,'25.04'!$F$7:$F$411,I$3)</f>
        <v>0</v>
      </c>
      <c r="J19" s="235">
        <f>sumifs('25.04'!$H$7:$H$411,'25.04'!$G$7:$G$411,$D19,'25.04'!$F$7:$F$411,J$3)</f>
        <v>0</v>
      </c>
      <c r="K19" s="235">
        <f>sumifs('25.04'!$H$7:$H$411,'25.04'!$G$7:$G$411,$D19,'25.04'!$F$7:$F$411,K$3)</f>
        <v>0</v>
      </c>
      <c r="L19" s="235">
        <f>sumifs('25.04'!$H$7:$H$411,'25.04'!$G$7:$G$411,$D19,'25.04'!$F$7:$F$411,L$3)</f>
        <v>0</v>
      </c>
      <c r="M19" s="235">
        <f>sumifs('25.04'!$H$7:$H$411,'25.04'!$G$7:$G$411,$D19,'25.04'!$F$7:$F$411,M$3)</f>
        <v>0</v>
      </c>
      <c r="N19" s="225">
        <f t="shared" si="1"/>
        <v>0</v>
      </c>
      <c r="O19" s="236"/>
      <c r="P19" s="236" t="str">
        <f t="shared" si="5"/>
        <v>#DIV/0!</v>
      </c>
      <c r="Q19" s="236"/>
      <c r="T19" s="235">
        <f>sumifs('25.04'!$H$7:$H$411,'25.04'!$J$7:$J$411,$D19,'25.04'!$K$7:$K$411,T$3)</f>
        <v>0</v>
      </c>
      <c r="U19" s="235">
        <f>sumifs('25.04'!$H$7:$H$411,'25.04'!$J$7:$J$411,$D19,'25.04'!$K$7:$K$411,U$3)</f>
        <v>0</v>
      </c>
      <c r="V19" s="235">
        <f>sumifs('25.04'!$H$7:$H$411,'25.04'!$J$7:$J$411,$D19,'25.04'!$K$7:$K$411,V$3)</f>
        <v>0</v>
      </c>
      <c r="W19" s="235">
        <f>sumifs('25.04'!$H$7:$H$411,'25.04'!$J$7:$J$411,$D19,'25.04'!$K$7:$K$411,W$3)</f>
        <v>0</v>
      </c>
      <c r="X19" s="235">
        <f>sumifs('25.04'!$H$7:$H$411,'25.04'!$J$7:$J$411,$D19,'25.04'!$K$7:$K$411,X$3)</f>
        <v>0</v>
      </c>
      <c r="Y19" s="235">
        <f>sumifs('25.04'!$H$7:$H$411,'25.04'!$J$7:$J$411,$D19,'25.04'!$K$7:$K$411,Y$3)</f>
        <v>0</v>
      </c>
      <c r="Z19" s="235">
        <f>sumifs('25.04'!$H$7:$H$411,'25.04'!$J$7:$J$411,$D19,'25.04'!$K$7:$K$411,Z$3)</f>
        <v>0</v>
      </c>
      <c r="AA19" s="235">
        <f>sumifs('25.04'!$H$7:$H$411,'25.04'!$J$7:$J$411,$D19,'25.04'!$K$7:$K$411,AA$3)</f>
        <v>0</v>
      </c>
      <c r="AB19" s="235">
        <f>sumifs('25.04'!$H$7:$H$411,'25.04'!$J$7:$J$411,$D19,'25.04'!$K$7:$K$411,AB$3)</f>
        <v>0</v>
      </c>
      <c r="AC19" s="225">
        <f t="shared" si="3"/>
        <v>0</v>
      </c>
    </row>
    <row r="20">
      <c r="B20" s="237"/>
      <c r="C20" s="233">
        <v>44988.0</v>
      </c>
      <c r="D20" s="234" t="s">
        <v>73</v>
      </c>
      <c r="E20" s="235">
        <f>sumifs('25.04'!$H$7:$H$411,'25.04'!$G$7:$G$411,$D20,'25.04'!$F$7:$F$411,E$3)</f>
        <v>0</v>
      </c>
      <c r="F20" s="235">
        <f>sumifs('25.04'!$H$7:$H$411,'25.04'!$G$7:$G$411,$D20,'25.04'!$F$7:$F$411,F$3)</f>
        <v>0</v>
      </c>
      <c r="G20" s="235">
        <f>sumifs('25.04'!$H$7:$H$411,'25.04'!$G$7:$G$411,$D20,'25.04'!$F$7:$F$411,G$3)</f>
        <v>0</v>
      </c>
      <c r="H20" s="235">
        <f>sumifs('25.04'!$H$7:$H$411,'25.04'!$G$7:$G$411,$D20,'25.04'!$F$7:$F$411,H$3)</f>
        <v>0</v>
      </c>
      <c r="I20" s="235">
        <f>sumifs('25.04'!$H$7:$H$411,'25.04'!$G$7:$G$411,$D20,'25.04'!$F$7:$F$411,I$3)</f>
        <v>0</v>
      </c>
      <c r="J20" s="235">
        <f>sumifs('25.04'!$H$7:$H$411,'25.04'!$G$7:$G$411,$D20,'25.04'!$F$7:$F$411,J$3)</f>
        <v>0</v>
      </c>
      <c r="K20" s="235">
        <f>sumifs('25.04'!$H$7:$H$411,'25.04'!$G$7:$G$411,$D20,'25.04'!$F$7:$F$411,K$3)</f>
        <v>0</v>
      </c>
      <c r="L20" s="235">
        <f>sumifs('25.04'!$H$7:$H$411,'25.04'!$G$7:$G$411,$D20,'25.04'!$F$7:$F$411,L$3)</f>
        <v>0</v>
      </c>
      <c r="M20" s="235">
        <f>sumifs('25.04'!$H$7:$H$411,'25.04'!$G$7:$G$411,$D20,'25.04'!$F$7:$F$411,M$3)</f>
        <v>0</v>
      </c>
      <c r="N20" s="225">
        <f t="shared" si="1"/>
        <v>0</v>
      </c>
      <c r="O20" s="236"/>
      <c r="P20" s="236" t="str">
        <f t="shared" si="5"/>
        <v>#DIV/0!</v>
      </c>
      <c r="Q20" s="236"/>
      <c r="T20" s="235">
        <f>sumifs('25.04'!$H$7:$H$411,'25.04'!$J$7:$J$411,$D20,'25.04'!$K$7:$K$411,T$3)</f>
        <v>0</v>
      </c>
      <c r="U20" s="235">
        <f>sumifs('25.04'!$H$7:$H$411,'25.04'!$J$7:$J$411,$D20,'25.04'!$K$7:$K$411,U$3)</f>
        <v>0</v>
      </c>
      <c r="V20" s="235">
        <f>sumifs('25.04'!$H$7:$H$411,'25.04'!$J$7:$J$411,$D20,'25.04'!$K$7:$K$411,V$3)</f>
        <v>0</v>
      </c>
      <c r="W20" s="235">
        <f>sumifs('25.04'!$H$7:$H$411,'25.04'!$J$7:$J$411,$D20,'25.04'!$K$7:$K$411,W$3)</f>
        <v>0</v>
      </c>
      <c r="X20" s="235">
        <f>sumifs('25.04'!$H$7:$H$411,'25.04'!$J$7:$J$411,$D20,'25.04'!$K$7:$K$411,X$3)</f>
        <v>0</v>
      </c>
      <c r="Y20" s="235">
        <f>sumifs('25.04'!$H$7:$H$411,'25.04'!$J$7:$J$411,$D20,'25.04'!$K$7:$K$411,Y$3)</f>
        <v>0</v>
      </c>
      <c r="Z20" s="235">
        <f>sumifs('25.04'!$H$7:$H$411,'25.04'!$J$7:$J$411,$D20,'25.04'!$K$7:$K$411,Z$3)</f>
        <v>0</v>
      </c>
      <c r="AA20" s="235">
        <f>sumifs('25.04'!$H$7:$H$411,'25.04'!$J$7:$J$411,$D20,'25.04'!$K$7:$K$411,AA$3)</f>
        <v>0</v>
      </c>
      <c r="AB20" s="235">
        <f>sumifs('25.04'!$H$7:$H$411,'25.04'!$J$7:$J$411,$D20,'25.04'!$K$7:$K$411,AB$3)</f>
        <v>0</v>
      </c>
      <c r="AC20" s="225">
        <f t="shared" si="3"/>
        <v>0</v>
      </c>
    </row>
    <row r="21">
      <c r="B21" s="237"/>
      <c r="C21" s="233">
        <v>45019.0</v>
      </c>
      <c r="D21" s="234" t="s">
        <v>74</v>
      </c>
      <c r="E21" s="235">
        <f>sumifs('25.04'!$H$7:$H$411,'25.04'!$G$7:$G$411,$D21,'25.04'!$F$7:$F$411,E$3)</f>
        <v>0</v>
      </c>
      <c r="F21" s="235">
        <f>sumifs('25.04'!$H$7:$H$411,'25.04'!$G$7:$G$411,$D21,'25.04'!$F$7:$F$411,F$3)</f>
        <v>0</v>
      </c>
      <c r="G21" s="235">
        <f>sumifs('25.04'!$H$7:$H$411,'25.04'!$G$7:$G$411,$D21,'25.04'!$F$7:$F$411,G$3)</f>
        <v>0</v>
      </c>
      <c r="H21" s="235">
        <f>sumifs('25.04'!$H$7:$H$411,'25.04'!$G$7:$G$411,$D21,'25.04'!$F$7:$F$411,H$3)</f>
        <v>0</v>
      </c>
      <c r="I21" s="235">
        <f>sumifs('25.04'!$H$7:$H$411,'25.04'!$G$7:$G$411,$D21,'25.04'!$F$7:$F$411,I$3)</f>
        <v>0</v>
      </c>
      <c r="J21" s="235">
        <f>sumifs('25.04'!$H$7:$H$411,'25.04'!$G$7:$G$411,$D21,'25.04'!$F$7:$F$411,J$3)</f>
        <v>0</v>
      </c>
      <c r="K21" s="235">
        <f>sumifs('25.04'!$H$7:$H$411,'25.04'!$G$7:$G$411,$D21,'25.04'!$F$7:$F$411,K$3)</f>
        <v>0</v>
      </c>
      <c r="L21" s="235">
        <f>sumifs('25.04'!$H$7:$H$411,'25.04'!$G$7:$G$411,$D21,'25.04'!$F$7:$F$411,L$3)</f>
        <v>0</v>
      </c>
      <c r="M21" s="235">
        <f>sumifs('25.04'!$H$7:$H$411,'25.04'!$G$7:$G$411,$D21,'25.04'!$F$7:$F$411,M$3)</f>
        <v>0</v>
      </c>
      <c r="N21" s="225">
        <f t="shared" si="1"/>
        <v>0</v>
      </c>
      <c r="O21" s="236"/>
      <c r="P21" s="236" t="str">
        <f t="shared" si="5"/>
        <v>#DIV/0!</v>
      </c>
      <c r="Q21" s="236"/>
      <c r="T21" s="235">
        <f>sumifs('25.04'!$H$7:$H$411,'25.04'!$J$7:$J$411,$D21,'25.04'!$K$7:$K$411,T$3)</f>
        <v>0</v>
      </c>
      <c r="U21" s="235">
        <f>sumifs('25.04'!$H$7:$H$411,'25.04'!$J$7:$J$411,$D21,'25.04'!$K$7:$K$411,U$3)</f>
        <v>0</v>
      </c>
      <c r="V21" s="235">
        <f>sumifs('25.04'!$H$7:$H$411,'25.04'!$J$7:$J$411,$D21,'25.04'!$K$7:$K$411,V$3)</f>
        <v>0</v>
      </c>
      <c r="W21" s="235">
        <f>sumifs('25.04'!$H$7:$H$411,'25.04'!$J$7:$J$411,$D21,'25.04'!$K$7:$K$411,W$3)</f>
        <v>0</v>
      </c>
      <c r="X21" s="235">
        <f>sumifs('25.04'!$H$7:$H$411,'25.04'!$J$7:$J$411,$D21,'25.04'!$K$7:$K$411,X$3)</f>
        <v>0</v>
      </c>
      <c r="Y21" s="235">
        <f>sumifs('25.04'!$H$7:$H$411,'25.04'!$J$7:$J$411,$D21,'25.04'!$K$7:$K$411,Y$3)</f>
        <v>0</v>
      </c>
      <c r="Z21" s="235">
        <f>sumifs('25.04'!$H$7:$H$411,'25.04'!$J$7:$J$411,$D21,'25.04'!$K$7:$K$411,Z$3)</f>
        <v>0</v>
      </c>
      <c r="AA21" s="235">
        <f>sumifs('25.04'!$H$7:$H$411,'25.04'!$J$7:$J$411,$D21,'25.04'!$K$7:$K$411,AA$3)</f>
        <v>0</v>
      </c>
      <c r="AB21" s="235">
        <f>sumifs('25.04'!$H$7:$H$411,'25.04'!$J$7:$J$411,$D21,'25.04'!$K$7:$K$411,AB$3)</f>
        <v>0</v>
      </c>
      <c r="AC21" s="225">
        <f t="shared" si="3"/>
        <v>0</v>
      </c>
    </row>
    <row r="22">
      <c r="B22" s="238"/>
      <c r="C22" s="239">
        <v>45049.0</v>
      </c>
      <c r="D22" s="240" t="s">
        <v>75</v>
      </c>
      <c r="E22" s="241">
        <f>sumifs('25.04'!$H$7:$H$411,'25.04'!$G$7:$G$411,$D22,'25.04'!$F$7:$F$411,E$3)</f>
        <v>0</v>
      </c>
      <c r="F22" s="241">
        <f>sumifs('25.04'!$H$7:$H$411,'25.04'!$G$7:$G$411,$D22,'25.04'!$F$7:$F$411,F$3)</f>
        <v>0</v>
      </c>
      <c r="G22" s="241">
        <f>sumifs('25.04'!$H$7:$H$411,'25.04'!$G$7:$G$411,$D22,'25.04'!$F$7:$F$411,G$3)</f>
        <v>0</v>
      </c>
      <c r="H22" s="241">
        <f>sumifs('25.04'!$H$7:$H$411,'25.04'!$G$7:$G$411,$D22,'25.04'!$F$7:$F$411,H$3)</f>
        <v>0</v>
      </c>
      <c r="I22" s="241">
        <f>sumifs('25.04'!$H$7:$H$411,'25.04'!$G$7:$G$411,$D22,'25.04'!$F$7:$F$411,I$3)</f>
        <v>0</v>
      </c>
      <c r="J22" s="241">
        <f>sumifs('25.04'!$H$7:$H$411,'25.04'!$G$7:$G$411,$D22,'25.04'!$F$7:$F$411,J$3)</f>
        <v>0</v>
      </c>
      <c r="K22" s="241">
        <f>sumifs('25.04'!$H$7:$H$411,'25.04'!$G$7:$G$411,$D22,'25.04'!$F$7:$F$411,K$3)</f>
        <v>0</v>
      </c>
      <c r="L22" s="241">
        <f>sumifs('25.04'!$H$7:$H$411,'25.04'!$G$7:$G$411,$D22,'25.04'!$F$7:$F$411,L$3)</f>
        <v>0</v>
      </c>
      <c r="M22" s="241">
        <f>sumifs('25.04'!$H$7:$H$411,'25.04'!$G$7:$G$411,$D22,'25.04'!$F$7:$F$411,M$3)</f>
        <v>0</v>
      </c>
      <c r="N22" s="225">
        <f t="shared" si="1"/>
        <v>0</v>
      </c>
      <c r="O22" s="236"/>
      <c r="P22" s="236" t="str">
        <f t="shared" si="5"/>
        <v>#DIV/0!</v>
      </c>
      <c r="Q22" s="236"/>
      <c r="T22" s="241">
        <f>sumifs('25.04'!$H$7:$H$411,'25.04'!$J$7:$J$411,$D22,'25.04'!$K$7:$K$411,T$3)</f>
        <v>0</v>
      </c>
      <c r="U22" s="241">
        <f>sumifs('25.04'!$H$7:$H$411,'25.04'!$J$7:$J$411,$D22,'25.04'!$K$7:$K$411,U$3)</f>
        <v>0</v>
      </c>
      <c r="V22" s="241">
        <f>sumifs('25.04'!$H$7:$H$411,'25.04'!$J$7:$J$411,$D22,'25.04'!$K$7:$K$411,V$3)</f>
        <v>0</v>
      </c>
      <c r="W22" s="241">
        <f>sumifs('25.04'!$H$7:$H$411,'25.04'!$J$7:$J$411,$D22,'25.04'!$K$7:$K$411,W$3)</f>
        <v>0</v>
      </c>
      <c r="X22" s="241">
        <f>sumifs('25.04'!$H$7:$H$411,'25.04'!$J$7:$J$411,$D22,'25.04'!$K$7:$K$411,X$3)</f>
        <v>0</v>
      </c>
      <c r="Y22" s="241">
        <f>sumifs('25.04'!$H$7:$H$411,'25.04'!$J$7:$J$411,$D22,'25.04'!$K$7:$K$411,Y$3)</f>
        <v>0</v>
      </c>
      <c r="Z22" s="241">
        <f>sumifs('25.04'!$H$7:$H$411,'25.04'!$J$7:$J$411,$D22,'25.04'!$K$7:$K$411,Z$3)</f>
        <v>0</v>
      </c>
      <c r="AA22" s="241">
        <f>sumifs('25.04'!$H$7:$H$411,'25.04'!$J$7:$J$411,$D22,'25.04'!$K$7:$K$411,AA$3)</f>
        <v>0</v>
      </c>
      <c r="AB22" s="241">
        <f>sumifs('25.04'!$H$7:$H$411,'25.04'!$J$7:$J$411,$D22,'25.04'!$K$7:$K$411,AB$3)</f>
        <v>0</v>
      </c>
      <c r="AC22" s="225">
        <f t="shared" si="3"/>
        <v>0</v>
      </c>
    </row>
    <row r="23">
      <c r="A23" s="225"/>
      <c r="B23" s="225"/>
      <c r="C23" s="226">
        <v>4.0</v>
      </c>
      <c r="D23" s="227" t="s">
        <v>76</v>
      </c>
      <c r="E23" s="228">
        <f>sumifs('25.04'!$H$7:$H$411,'25.04'!$G$7:$G$411,$D23,'25.04'!$F$7:$F$411,E$3)</f>
        <v>0</v>
      </c>
      <c r="F23" s="228">
        <f>sumifs('25.04'!$H$7:$H$411,'25.04'!$G$7:$G$411,$D23,'25.04'!$F$7:$F$411,F$3)</f>
        <v>0</v>
      </c>
      <c r="G23" s="228">
        <f>sumifs('25.04'!$H$7:$H$411,'25.04'!$G$7:$G$411,$D23,'25.04'!$F$7:$F$411,G$3)</f>
        <v>0</v>
      </c>
      <c r="H23" s="228">
        <f>sumifs('25.04'!$H$7:$H$411,'25.04'!$G$7:$G$411,$D23,'25.04'!$F$7:$F$411,H$3)</f>
        <v>0</v>
      </c>
      <c r="I23" s="228">
        <f>sumifs('25.04'!$H$7:$H$411,'25.04'!$G$7:$G$411,$D23,'25.04'!$F$7:$F$411,I$3)</f>
        <v>0</v>
      </c>
      <c r="J23" s="228">
        <f>sumifs('25.04'!$H$7:$H$411,'25.04'!$G$7:$G$411,$D23,'25.04'!$F$7:$F$411,J$3)</f>
        <v>0</v>
      </c>
      <c r="K23" s="228">
        <f>sumifs('25.04'!$H$7:$H$411,'25.04'!$G$7:$G$411,$D23,'25.04'!$F$7:$F$411,K$3)</f>
        <v>0</v>
      </c>
      <c r="L23" s="228">
        <f>sumifs('25.04'!$H$7:$H$411,'25.04'!$G$7:$G$411,$D23,'25.04'!$F$7:$F$411,L$3)</f>
        <v>0</v>
      </c>
      <c r="M23" s="228">
        <f>sumifs('25.04'!$H$7:$H$411,'25.04'!$G$7:$G$411,$D23,'25.04'!$F$7:$F$411,M$3)</f>
        <v>0</v>
      </c>
      <c r="N23" s="229">
        <f t="shared" si="1"/>
        <v>0</v>
      </c>
      <c r="O23" s="230"/>
      <c r="P23" s="230" t="str">
        <f t="shared" ref="P23:P24" si="6">N23/sum(N$23:N$28)</f>
        <v>#DIV/0!</v>
      </c>
      <c r="Q23" s="230"/>
      <c r="R23" s="231">
        <f>sum(N23:N28)</f>
        <v>0</v>
      </c>
      <c r="S23" s="230">
        <f>R22/sum($R$4:$R$49)</f>
        <v>0</v>
      </c>
      <c r="T23" s="228">
        <f>sumifs('25.04'!$H$7:$H$411,'25.04'!$J$7:$J$411,$D23,'25.04'!$K$7:$K$411,T$3)</f>
        <v>0</v>
      </c>
      <c r="U23" s="228">
        <f>sumifs('25.04'!$H$7:$H$411,'25.04'!$J$7:$J$411,$D23,'25.04'!$K$7:$K$411,U$3)</f>
        <v>0</v>
      </c>
      <c r="V23" s="228">
        <f>sumifs('25.04'!$H$7:$H$411,'25.04'!$J$7:$J$411,$D23,'25.04'!$K$7:$K$411,V$3)</f>
        <v>0</v>
      </c>
      <c r="W23" s="228">
        <f>sumifs('25.04'!$H$7:$H$411,'25.04'!$J$7:$J$411,$D23,'25.04'!$K$7:$K$411,W$3)</f>
        <v>0</v>
      </c>
      <c r="X23" s="228">
        <f>sumifs('25.04'!$H$7:$H$411,'25.04'!$J$7:$J$411,$D23,'25.04'!$K$7:$K$411,X$3)</f>
        <v>0</v>
      </c>
      <c r="Y23" s="228">
        <f>sumifs('25.04'!$H$7:$H$411,'25.04'!$J$7:$J$411,$D23,'25.04'!$K$7:$K$411,Y$3)</f>
        <v>0</v>
      </c>
      <c r="Z23" s="228">
        <f>sumifs('25.04'!$H$7:$H$411,'25.04'!$J$7:$J$411,$D23,'25.04'!$K$7:$K$411,Z$3)</f>
        <v>0</v>
      </c>
      <c r="AA23" s="228">
        <f>sumifs('25.04'!$H$7:$H$411,'25.04'!$J$7:$J$411,$D23,'25.04'!$K$7:$K$411,AA$3)</f>
        <v>0</v>
      </c>
      <c r="AB23" s="228">
        <f>sumifs('25.04'!$H$7:$H$411,'25.04'!$J$7:$J$411,$D23,'25.04'!$K$7:$K$411,AB$3)</f>
        <v>0</v>
      </c>
      <c r="AC23" s="229">
        <f t="shared" si="3"/>
        <v>0</v>
      </c>
    </row>
    <row r="24">
      <c r="A24" s="242">
        <v>4.0</v>
      </c>
      <c r="B24" s="232" t="s">
        <v>76</v>
      </c>
      <c r="C24" s="233">
        <v>44930.0</v>
      </c>
      <c r="D24" s="234" t="s">
        <v>77</v>
      </c>
      <c r="E24" s="235">
        <f>sumifs('25.04'!$H$7:$H$411,'25.04'!$G$7:$G$411,$D24,'25.04'!$F$7:$F$411,E$3)</f>
        <v>0</v>
      </c>
      <c r="F24" s="235">
        <f>sumifs('25.04'!$H$7:$H$411,'25.04'!$G$7:$G$411,$D24,'25.04'!$F$7:$F$411,F$3)</f>
        <v>0</v>
      </c>
      <c r="G24" s="235">
        <f>sumifs('25.04'!$H$7:$H$411,'25.04'!$G$7:$G$411,$D24,'25.04'!$F$7:$F$411,G$3)</f>
        <v>0</v>
      </c>
      <c r="H24" s="235">
        <f>sumifs('25.04'!$H$7:$H$411,'25.04'!$G$7:$G$411,$D24,'25.04'!$F$7:$F$411,H$3)</f>
        <v>0</v>
      </c>
      <c r="I24" s="235">
        <f>sumifs('25.04'!$H$7:$H$411,'25.04'!$G$7:$G$411,$D24,'25.04'!$F$7:$F$411,I$3)</f>
        <v>0</v>
      </c>
      <c r="J24" s="235">
        <f>sumifs('25.04'!$H$7:$H$411,'25.04'!$G$7:$G$411,$D24,'25.04'!$F$7:$F$411,J$3)</f>
        <v>0</v>
      </c>
      <c r="K24" s="235">
        <f>sumifs('25.04'!$H$7:$H$411,'25.04'!$G$7:$G$411,$D24,'25.04'!$F$7:$F$411,K$3)</f>
        <v>0</v>
      </c>
      <c r="L24" s="235">
        <f>sumifs('25.04'!$H$7:$H$411,'25.04'!$G$7:$G$411,$D24,'25.04'!$F$7:$F$411,L$3)</f>
        <v>0</v>
      </c>
      <c r="M24" s="235">
        <f>sumifs('25.04'!$H$7:$H$411,'25.04'!$G$7:$G$411,$D24,'25.04'!$F$7:$F$411,M$3)</f>
        <v>0</v>
      </c>
      <c r="N24" s="225">
        <f t="shared" si="1"/>
        <v>0</v>
      </c>
      <c r="O24" s="236"/>
      <c r="P24" s="236" t="str">
        <f t="shared" si="6"/>
        <v>#DIV/0!</v>
      </c>
      <c r="Q24" s="236"/>
      <c r="T24" s="235">
        <f>sumifs('25.04'!$H$7:$H$411,'25.04'!$J$7:$J$411,$D24,'25.04'!$K$7:$K$411,T$3)</f>
        <v>0</v>
      </c>
      <c r="U24" s="235">
        <f>sumifs('25.04'!$H$7:$H$411,'25.04'!$J$7:$J$411,$D24,'25.04'!$K$7:$K$411,U$3)</f>
        <v>0</v>
      </c>
      <c r="V24" s="235">
        <f>sumifs('25.04'!$H$7:$H$411,'25.04'!$J$7:$J$411,$D24,'25.04'!$K$7:$K$411,V$3)</f>
        <v>0</v>
      </c>
      <c r="W24" s="235">
        <f>sumifs('25.04'!$H$7:$H$411,'25.04'!$J$7:$J$411,$D24,'25.04'!$K$7:$K$411,W$3)</f>
        <v>0</v>
      </c>
      <c r="X24" s="235">
        <f>sumifs('25.04'!$H$7:$H$411,'25.04'!$J$7:$J$411,$D24,'25.04'!$K$7:$K$411,X$3)</f>
        <v>0</v>
      </c>
      <c r="Y24" s="235">
        <f>sumifs('25.04'!$H$7:$H$411,'25.04'!$J$7:$J$411,$D24,'25.04'!$K$7:$K$411,Y$3)</f>
        <v>0</v>
      </c>
      <c r="Z24" s="235">
        <f>sumifs('25.04'!$H$7:$H$411,'25.04'!$J$7:$J$411,$D24,'25.04'!$K$7:$K$411,Z$3)</f>
        <v>0</v>
      </c>
      <c r="AA24" s="235">
        <f>sumifs('25.04'!$H$7:$H$411,'25.04'!$J$7:$J$411,$D24,'25.04'!$K$7:$K$411,AA$3)</f>
        <v>0</v>
      </c>
      <c r="AB24" s="235">
        <f>sumifs('25.04'!$H$7:$H$411,'25.04'!$J$7:$J$411,$D24,'25.04'!$K$7:$K$411,AB$3)</f>
        <v>0</v>
      </c>
      <c r="AC24" s="225">
        <f t="shared" si="3"/>
        <v>0</v>
      </c>
    </row>
    <row r="25">
      <c r="B25" s="237"/>
      <c r="C25" s="233"/>
      <c r="D25" s="234" t="s">
        <v>78</v>
      </c>
      <c r="E25" s="235">
        <f>sumifs('25.04'!$H$7:$H$411,'25.04'!$G$7:$G$411,$D25,'25.04'!$F$7:$F$411,E$3)</f>
        <v>0</v>
      </c>
      <c r="F25" s="235">
        <f>sumifs('25.04'!$H$7:$H$411,'25.04'!$G$7:$G$411,$D25,'25.04'!$F$7:$F$411,F$3)</f>
        <v>0</v>
      </c>
      <c r="G25" s="235">
        <f>sumifs('25.04'!$H$7:$H$411,'25.04'!$G$7:$G$411,$D25,'25.04'!$F$7:$F$411,G$3)</f>
        <v>0</v>
      </c>
      <c r="H25" s="235">
        <f>sumifs('25.04'!$H$7:$H$411,'25.04'!$G$7:$G$411,$D25,'25.04'!$F$7:$F$411,H$3)</f>
        <v>0</v>
      </c>
      <c r="I25" s="235">
        <f>sumifs('25.04'!$H$7:$H$411,'25.04'!$G$7:$G$411,$D25,'25.04'!$F$7:$F$411,I$3)</f>
        <v>0</v>
      </c>
      <c r="J25" s="235">
        <f>sumifs('25.04'!$H$7:$H$411,'25.04'!$G$7:$G$411,$D25,'25.04'!$F$7:$F$411,J$3)</f>
        <v>0</v>
      </c>
      <c r="K25" s="235">
        <f>sumifs('25.04'!$H$7:$H$411,'25.04'!$G$7:$G$411,$D25,'25.04'!$F$7:$F$411,K$3)</f>
        <v>0</v>
      </c>
      <c r="L25" s="235">
        <f>sumifs('25.04'!$H$7:$H$411,'25.04'!$G$7:$G$411,$D25,'25.04'!$F$7:$F$411,L$3)</f>
        <v>0</v>
      </c>
      <c r="M25" s="235">
        <f>sumifs('25.04'!$H$7:$H$411,'25.04'!$G$7:$G$411,$D25,'25.04'!$F$7:$F$411,M$3)</f>
        <v>0</v>
      </c>
      <c r="N25" s="225">
        <f t="shared" si="1"/>
        <v>0</v>
      </c>
      <c r="O25" s="236"/>
      <c r="P25" s="236"/>
      <c r="Q25" s="236"/>
      <c r="T25" s="235"/>
      <c r="U25" s="235"/>
      <c r="V25" s="235"/>
      <c r="W25" s="235"/>
      <c r="X25" s="235"/>
      <c r="Y25" s="235"/>
      <c r="Z25" s="235"/>
      <c r="AA25" s="235"/>
      <c r="AB25" s="235"/>
      <c r="AC25" s="225"/>
    </row>
    <row r="26">
      <c r="B26" s="237"/>
      <c r="C26" s="233">
        <v>44961.0</v>
      </c>
      <c r="D26" s="234" t="s">
        <v>79</v>
      </c>
      <c r="E26" s="235">
        <f>sumifs('25.04'!$H$7:$H$411,'25.04'!$G$7:$G$411,$D26,'25.04'!$F$7:$F$411,E$3)</f>
        <v>0</v>
      </c>
      <c r="F26" s="235">
        <f>sumifs('25.04'!$H$7:$H$411,'25.04'!$G$7:$G$411,$D26,'25.04'!$F$7:$F$411,F$3)</f>
        <v>0</v>
      </c>
      <c r="G26" s="235">
        <f>sumifs('25.04'!$H$7:$H$411,'25.04'!$G$7:$G$411,$D26,'25.04'!$F$7:$F$411,G$3)</f>
        <v>0</v>
      </c>
      <c r="H26" s="235">
        <f>sumifs('25.04'!$H$7:$H$411,'25.04'!$G$7:$G$411,$D26,'25.04'!$F$7:$F$411,H$3)</f>
        <v>0</v>
      </c>
      <c r="I26" s="235">
        <f>sumifs('25.04'!$H$7:$H$411,'25.04'!$G$7:$G$411,$D26,'25.04'!$F$7:$F$411,I$3)</f>
        <v>0</v>
      </c>
      <c r="J26" s="235">
        <f>sumifs('25.04'!$H$7:$H$411,'25.04'!$G$7:$G$411,$D26,'25.04'!$F$7:$F$411,J$3)</f>
        <v>0</v>
      </c>
      <c r="K26" s="235">
        <f>sumifs('25.04'!$H$7:$H$411,'25.04'!$G$7:$G$411,$D26,'25.04'!$F$7:$F$411,K$3)</f>
        <v>0</v>
      </c>
      <c r="L26" s="235">
        <f>sumifs('25.04'!$H$7:$H$411,'25.04'!$G$7:$G$411,$D26,'25.04'!$F$7:$F$411,L$3)</f>
        <v>0</v>
      </c>
      <c r="M26" s="235">
        <f>sumifs('25.04'!$H$7:$H$411,'25.04'!$G$7:$G$411,$D26,'25.04'!$F$7:$F$411,M$3)</f>
        <v>0</v>
      </c>
      <c r="N26" s="225">
        <f t="shared" si="1"/>
        <v>0</v>
      </c>
      <c r="O26" s="236"/>
      <c r="P26" s="236" t="str">
        <f t="shared" ref="P26:P28" si="7">N26/sum(N$23:N$28)</f>
        <v>#DIV/0!</v>
      </c>
      <c r="Q26" s="236"/>
      <c r="T26" s="235">
        <f>sumifs('25.04'!$H$7:$H$411,'25.04'!$J$7:$J$411,$D26,'25.04'!$K$7:$K$411,T$3)</f>
        <v>0</v>
      </c>
      <c r="U26" s="235">
        <f>sumifs('25.04'!$H$7:$H$411,'25.04'!$J$7:$J$411,$D26,'25.04'!$K$7:$K$411,U$3)</f>
        <v>0</v>
      </c>
      <c r="V26" s="235">
        <f>sumifs('25.04'!$H$7:$H$411,'25.04'!$J$7:$J$411,$D26,'25.04'!$K$7:$K$411,V$3)</f>
        <v>0</v>
      </c>
      <c r="W26" s="235">
        <f>sumifs('25.04'!$H$7:$H$411,'25.04'!$J$7:$J$411,$D26,'25.04'!$K$7:$K$411,W$3)</f>
        <v>0</v>
      </c>
      <c r="X26" s="235">
        <f>sumifs('25.04'!$H$7:$H$411,'25.04'!$J$7:$J$411,$D26,'25.04'!$K$7:$K$411,X$3)</f>
        <v>0</v>
      </c>
      <c r="Y26" s="235">
        <f>sumifs('25.04'!$H$7:$H$411,'25.04'!$J$7:$J$411,$D26,'25.04'!$K$7:$K$411,Y$3)</f>
        <v>0</v>
      </c>
      <c r="Z26" s="235">
        <f>sumifs('25.04'!$H$7:$H$411,'25.04'!$J$7:$J$411,$D26,'25.04'!$K$7:$K$411,Z$3)</f>
        <v>0</v>
      </c>
      <c r="AA26" s="235">
        <f>sumifs('25.04'!$H$7:$H$411,'25.04'!$J$7:$J$411,$D26,'25.04'!$K$7:$K$411,AA$3)</f>
        <v>0</v>
      </c>
      <c r="AB26" s="235">
        <f>sumifs('25.04'!$H$7:$H$411,'25.04'!$J$7:$J$411,$D26,'25.04'!$K$7:$K$411,AB$3)</f>
        <v>0</v>
      </c>
      <c r="AC26" s="225">
        <f t="shared" ref="AC26:AC36" si="8">sum(T26:AB26)</f>
        <v>0</v>
      </c>
    </row>
    <row r="27">
      <c r="B27" s="237"/>
      <c r="C27" s="233">
        <v>44989.0</v>
      </c>
      <c r="D27" s="234" t="s">
        <v>80</v>
      </c>
      <c r="E27" s="235">
        <f>sumifs('25.04'!$H$7:$H$411,'25.04'!$G$7:$G$411,$D27,'25.04'!$F$7:$F$411,E$3)</f>
        <v>0</v>
      </c>
      <c r="F27" s="243" t="s">
        <v>0</v>
      </c>
      <c r="G27" s="235">
        <f>sumifs('25.04'!$H$7:$H$411,'25.04'!$G$7:$G$411,$D27,'25.04'!$F$7:$F$411,G$3)</f>
        <v>0</v>
      </c>
      <c r="H27" s="235">
        <f>sumifs('25.04'!$H$7:$H$411,'25.04'!$G$7:$G$411,$D27,'25.04'!$F$7:$F$411,H$3)</f>
        <v>0</v>
      </c>
      <c r="I27" s="235">
        <f>sumifs('25.04'!$H$7:$H$411,'25.04'!$G$7:$G$411,$D27,'25.04'!$F$7:$F$411,I$3)</f>
        <v>0</v>
      </c>
      <c r="J27" s="235">
        <f>sumifs('25.04'!$H$7:$H$411,'25.04'!$G$7:$G$411,$D27,'25.04'!$F$7:$F$411,J$3)</f>
        <v>0</v>
      </c>
      <c r="K27" s="235">
        <f>sumifs('25.04'!$H$7:$H$411,'25.04'!$G$7:$G$411,$D27,'25.04'!$F$7:$F$411,K$3)</f>
        <v>0</v>
      </c>
      <c r="L27" s="235">
        <f>sumifs('25.04'!$H$7:$H$411,'25.04'!$G$7:$G$411,$D27,'25.04'!$F$7:$F$411,L$3)</f>
        <v>0</v>
      </c>
      <c r="M27" s="235">
        <f>sumifs('25.04'!$H$7:$H$411,'25.04'!$G$7:$G$411,$D27,'25.04'!$F$7:$F$411,M$3)</f>
        <v>0</v>
      </c>
      <c r="N27" s="225">
        <f t="shared" si="1"/>
        <v>0</v>
      </c>
      <c r="O27" s="236"/>
      <c r="P27" s="236" t="str">
        <f t="shared" si="7"/>
        <v>#DIV/0!</v>
      </c>
      <c r="Q27" s="236"/>
      <c r="T27" s="235">
        <f>sumifs('25.04'!$H$7:$H$411,'25.04'!$J$7:$J$411,$D27,'25.04'!$K$7:$K$411,T$3)</f>
        <v>0</v>
      </c>
      <c r="U27" s="235">
        <f>sumifs('25.04'!$H$7:$H$411,'25.04'!$J$7:$J$411,$D27,'25.04'!$K$7:$K$411,U$3)</f>
        <v>0</v>
      </c>
      <c r="V27" s="235">
        <f>sumifs('25.04'!$H$7:$H$411,'25.04'!$J$7:$J$411,$D27,'25.04'!$K$7:$K$411,V$3)</f>
        <v>0</v>
      </c>
      <c r="W27" s="235">
        <f>sumifs('25.04'!$H$7:$H$411,'25.04'!$J$7:$J$411,$D27,'25.04'!$K$7:$K$411,W$3)</f>
        <v>0</v>
      </c>
      <c r="X27" s="235">
        <f>sumifs('25.04'!$H$7:$H$411,'25.04'!$J$7:$J$411,$D27,'25.04'!$K$7:$K$411,X$3)</f>
        <v>0</v>
      </c>
      <c r="Y27" s="235">
        <f>sumifs('25.04'!$H$7:$H$411,'25.04'!$J$7:$J$411,$D27,'25.04'!$K$7:$K$411,Y$3)</f>
        <v>0</v>
      </c>
      <c r="Z27" s="235">
        <f>sumifs('25.04'!$H$7:$H$411,'25.04'!$J$7:$J$411,$D27,'25.04'!$K$7:$K$411,Z$3)</f>
        <v>0</v>
      </c>
      <c r="AA27" s="235">
        <f>sumifs('25.04'!$H$7:$H$411,'25.04'!$J$7:$J$411,$D27,'25.04'!$K$7:$K$411,AA$3)</f>
        <v>0</v>
      </c>
      <c r="AB27" s="235">
        <f>sumifs('25.04'!$H$7:$H$411,'25.04'!$J$7:$J$411,$D27,'25.04'!$K$7:$K$411,AB$3)</f>
        <v>0</v>
      </c>
      <c r="AC27" s="225">
        <f t="shared" si="8"/>
        <v>0</v>
      </c>
    </row>
    <row r="28">
      <c r="B28" s="238"/>
      <c r="C28" s="239">
        <v>45020.0</v>
      </c>
      <c r="D28" s="240" t="s">
        <v>81</v>
      </c>
      <c r="E28" s="241">
        <f>sumifs('25.04'!$H$7:$H$411,'25.04'!$G$7:$G$411,$D28,'25.04'!$F$7:$F$411,E$3)</f>
        <v>0</v>
      </c>
      <c r="F28" s="241">
        <f>sumifs('25.04'!$H$7:$H$411,'25.04'!$G$7:$G$411,$D28,'25.04'!$F$7:$F$411,F$3)</f>
        <v>0</v>
      </c>
      <c r="G28" s="241">
        <f>sumifs('25.04'!$H$7:$H$411,'25.04'!$G$7:$G$411,$D28,'25.04'!$F$7:$F$411,G$3)</f>
        <v>0</v>
      </c>
      <c r="H28" s="241">
        <f>sumifs('25.04'!$H$7:$H$411,'25.04'!$G$7:$G$411,$D28,'25.04'!$F$7:$F$411,H$3)</f>
        <v>0</v>
      </c>
      <c r="I28" s="241">
        <f>sumifs('25.04'!$H$7:$H$411,'25.04'!$G$7:$G$411,$D28,'25.04'!$F$7:$F$411,I$3)</f>
        <v>0</v>
      </c>
      <c r="J28" s="241">
        <f>sumifs('25.04'!$H$7:$H$411,'25.04'!$G$7:$G$411,$D28,'25.04'!$F$7:$F$411,J$3)</f>
        <v>0</v>
      </c>
      <c r="K28" s="241">
        <f>sumifs('25.04'!$H$7:$H$411,'25.04'!$G$7:$G$411,$D28,'25.04'!$F$7:$F$411,K$3)</f>
        <v>0</v>
      </c>
      <c r="L28" s="241">
        <f>sumifs('25.04'!$H$7:$H$411,'25.04'!$G$7:$G$411,$D28,'25.04'!$F$7:$F$411,L$3)</f>
        <v>0</v>
      </c>
      <c r="M28" s="241">
        <f>sumifs('25.04'!$H$7:$H$411,'25.04'!$G$7:$G$411,$D28,'25.04'!$F$7:$F$411,M$3)</f>
        <v>0</v>
      </c>
      <c r="N28" s="225">
        <f t="shared" si="1"/>
        <v>0</v>
      </c>
      <c r="O28" s="236"/>
      <c r="P28" s="236" t="str">
        <f t="shared" si="7"/>
        <v>#DIV/0!</v>
      </c>
      <c r="Q28" s="236"/>
      <c r="T28" s="241">
        <f>sumifs('25.04'!$H$7:$H$411,'25.04'!$J$7:$J$411,$D28,'25.04'!$K$7:$K$411,T$3)</f>
        <v>0</v>
      </c>
      <c r="U28" s="241">
        <f>sumifs('25.04'!$H$7:$H$411,'25.04'!$J$7:$J$411,$D28,'25.04'!$K$7:$K$411,U$3)</f>
        <v>0</v>
      </c>
      <c r="V28" s="241">
        <f>sumifs('25.04'!$H$7:$H$411,'25.04'!$J$7:$J$411,$D28,'25.04'!$K$7:$K$411,V$3)</f>
        <v>0</v>
      </c>
      <c r="W28" s="241">
        <f>sumifs('25.04'!$H$7:$H$411,'25.04'!$J$7:$J$411,$D28,'25.04'!$K$7:$K$411,W$3)</f>
        <v>0</v>
      </c>
      <c r="X28" s="241">
        <f>sumifs('25.04'!$H$7:$H$411,'25.04'!$J$7:$J$411,$D28,'25.04'!$K$7:$K$411,X$3)</f>
        <v>0</v>
      </c>
      <c r="Y28" s="241">
        <f>sumifs('25.04'!$H$7:$H$411,'25.04'!$J$7:$J$411,$D28,'25.04'!$K$7:$K$411,Y$3)</f>
        <v>0</v>
      </c>
      <c r="Z28" s="241">
        <f>sumifs('25.04'!$H$7:$H$411,'25.04'!$J$7:$J$411,$D28,'25.04'!$K$7:$K$411,Z$3)</f>
        <v>0</v>
      </c>
      <c r="AA28" s="241">
        <f>sumifs('25.04'!$H$7:$H$411,'25.04'!$J$7:$J$411,$D28,'25.04'!$K$7:$K$411,AA$3)</f>
        <v>0</v>
      </c>
      <c r="AB28" s="241">
        <f>sumifs('25.04'!$H$7:$H$411,'25.04'!$J$7:$J$411,$D28,'25.04'!$K$7:$K$411,AB$3)</f>
        <v>0</v>
      </c>
      <c r="AC28" s="225">
        <f t="shared" si="8"/>
        <v>0</v>
      </c>
    </row>
    <row r="29">
      <c r="A29" s="211">
        <v>5.0</v>
      </c>
      <c r="B29" s="232" t="s">
        <v>82</v>
      </c>
      <c r="C29" s="244" t="s">
        <v>83</v>
      </c>
      <c r="D29" s="234" t="s">
        <v>25</v>
      </c>
      <c r="E29" s="235">
        <f>sumifs('25.04'!$H$7:$H$411,'25.04'!$G$7:$G$411,$D29,'25.04'!$F$7:$F$411,E$3)</f>
        <v>0</v>
      </c>
      <c r="F29" s="235">
        <f>sumifs('25.04'!$H$7:$H$411,'25.04'!$G$7:$G$411,$D29,'25.04'!$F$7:$F$411,F$3)</f>
        <v>0</v>
      </c>
      <c r="G29" s="235">
        <f>sumifs('25.04'!$H$7:$H$411,'25.04'!$G$7:$G$411,$D29,'25.04'!$F$7:$F$411,G$3)</f>
        <v>3403644</v>
      </c>
      <c r="H29" s="235">
        <f>sumifs('25.04'!$H$7:$H$411,'25.04'!$G$7:$G$411,$D29,'25.04'!$F$7:$F$411,H$3)</f>
        <v>0</v>
      </c>
      <c r="I29" s="235">
        <f>sumifs('25.04'!$H$7:$H$411,'25.04'!$G$7:$G$411,$D29,'25.04'!$F$7:$F$411,I$3)</f>
        <v>0</v>
      </c>
      <c r="J29" s="235">
        <f>sumifs('25.04'!$H$7:$H$411,'25.04'!$G$7:$G$411,$D29,'25.04'!$F$7:$F$411,J$3)</f>
        <v>0</v>
      </c>
      <c r="K29" s="235">
        <f>sumifs('25.04'!$H$7:$H$411,'25.04'!$G$7:$G$411,$D29,'25.04'!$F$7:$F$411,K$3)</f>
        <v>0</v>
      </c>
      <c r="L29" s="235">
        <f>sumifs('25.04'!$H$7:$H$411,'25.04'!$G$7:$G$411,$D29,'25.04'!$F$7:$F$411,L$3)</f>
        <v>0</v>
      </c>
      <c r="M29" s="235">
        <f>sumifs('25.04'!$H$7:$H$411,'25.04'!$G$7:$G$411,$D29,'25.04'!$F$7:$F$411,M$3)</f>
        <v>0</v>
      </c>
      <c r="N29" s="225">
        <f t="shared" si="1"/>
        <v>3403644</v>
      </c>
      <c r="O29" s="236"/>
      <c r="P29" s="236">
        <f t="shared" ref="P29:P36" si="9">N29/sum(N$29:N$47)</f>
        <v>0.950700307</v>
      </c>
      <c r="Q29" s="245">
        <f t="shared" ref="Q29:Q31" si="10">N29/sum(N$29:N$31)</f>
        <v>0.950700307</v>
      </c>
      <c r="R29" s="231"/>
      <c r="S29" s="230"/>
      <c r="T29" s="235">
        <f>sumifs('25.04'!$H$7:$H$411,'25.04'!$J$7:$J$411,$D29,'25.04'!$K$7:$K$411,T$3)</f>
        <v>0</v>
      </c>
      <c r="U29" s="235">
        <f>sumifs('25.04'!$H$7:$H$411,'25.04'!$J$7:$J$411,$D29,'25.04'!$K$7:$K$411,U$3)</f>
        <v>0</v>
      </c>
      <c r="V29" s="235">
        <f>sumifs('25.04'!$H$7:$H$411,'25.04'!$J$7:$J$411,$D29,'25.04'!$K$7:$K$411,V$3)</f>
        <v>0</v>
      </c>
      <c r="W29" s="235">
        <f>sumifs('25.04'!$H$7:$H$411,'25.04'!$J$7:$J$411,$D29,'25.04'!$K$7:$K$411,W$3)</f>
        <v>0</v>
      </c>
      <c r="X29" s="235">
        <f>sumifs('25.04'!$H$7:$H$411,'25.04'!$J$7:$J$411,$D29,'25.04'!$K$7:$K$411,X$3)</f>
        <v>0</v>
      </c>
      <c r="Y29" s="235">
        <f>sumifs('25.04'!$H$7:$H$411,'25.04'!$J$7:$J$411,$D29,'25.04'!$K$7:$K$411,Y$3)</f>
        <v>0</v>
      </c>
      <c r="Z29" s="235">
        <f>sumifs('25.04'!$H$7:$H$411,'25.04'!$J$7:$J$411,$D29,'25.04'!$K$7:$K$411,Z$3)</f>
        <v>0</v>
      </c>
      <c r="AA29" s="235">
        <f>sumifs('25.04'!$H$7:$H$411,'25.04'!$J$7:$J$411,$D29,'25.04'!$K$7:$K$411,AA$3)</f>
        <v>0</v>
      </c>
      <c r="AB29" s="235">
        <f>sumifs('25.04'!$H$7:$H$411,'25.04'!$J$7:$J$411,$D29,'25.04'!$K$7:$K$411,AB$3)</f>
        <v>0</v>
      </c>
      <c r="AC29" s="225">
        <f t="shared" si="8"/>
        <v>0</v>
      </c>
    </row>
    <row r="30">
      <c r="B30" s="237"/>
      <c r="C30" s="244" t="s">
        <v>84</v>
      </c>
      <c r="D30" s="234" t="s">
        <v>85</v>
      </c>
      <c r="E30" s="235">
        <f>sumifs('25.04'!$H$7:$H$411,'25.04'!$G$7:$G$411,$D30,'25.04'!$F$7:$F$411,E$3)</f>
        <v>0</v>
      </c>
      <c r="F30" s="235">
        <f>sumifs('25.04'!$H$7:$H$411,'25.04'!$G$7:$G$411,$D30,'25.04'!$F$7:$F$411,F$3)</f>
        <v>0</v>
      </c>
      <c r="G30" s="235">
        <f>sumifs('25.04'!$H$7:$H$411,'25.04'!$G$7:$G$411,$D30,'25.04'!$F$7:$F$411,G$3)</f>
        <v>0</v>
      </c>
      <c r="H30" s="235">
        <f>sumifs('25.04'!$H$7:$H$411,'25.04'!$G$7:$G$411,$D30,'25.04'!$F$7:$F$411,H$3)</f>
        <v>0</v>
      </c>
      <c r="I30" s="235">
        <f>sumifs('25.04'!$H$7:$H$411,'25.04'!$G$7:$G$411,$D30,'25.04'!$F$7:$F$411,I$3)</f>
        <v>0</v>
      </c>
      <c r="J30" s="235">
        <f>sumifs('25.04'!$H$7:$H$411,'25.04'!$G$7:$G$411,$D30,'25.04'!$F$7:$F$411,J$3)</f>
        <v>0</v>
      </c>
      <c r="K30" s="235">
        <f>sumifs('25.04'!$H$7:$H$411,'25.04'!$G$7:$G$411,$D30,'25.04'!$F$7:$F$411,K$3)</f>
        <v>0</v>
      </c>
      <c r="L30" s="235">
        <f>sumifs('25.04'!$H$7:$H$411,'25.04'!$G$7:$G$411,$D30,'25.04'!$F$7:$F$411,L$3)</f>
        <v>0</v>
      </c>
      <c r="M30" s="235">
        <f>sumifs('25.04'!$H$7:$H$411,'25.04'!$G$7:$G$411,$D30,'25.04'!$F$7:$F$411,M$3)</f>
        <v>0</v>
      </c>
      <c r="N30" s="225">
        <f t="shared" si="1"/>
        <v>0</v>
      </c>
      <c r="O30" s="236"/>
      <c r="P30" s="236">
        <f t="shared" si="9"/>
        <v>0</v>
      </c>
      <c r="Q30" s="245">
        <f t="shared" si="10"/>
        <v>0</v>
      </c>
      <c r="T30" s="235">
        <f>sumifs('25.04'!$H$7:$H$411,'25.04'!$J$7:$J$411,$D30,'25.04'!$K$7:$K$411,T$3)</f>
        <v>0</v>
      </c>
      <c r="U30" s="235">
        <f>sumifs('25.04'!$H$7:$H$411,'25.04'!$J$7:$J$411,$D30,'25.04'!$K$7:$K$411,U$3)</f>
        <v>0</v>
      </c>
      <c r="V30" s="235">
        <f>sumifs('25.04'!$H$7:$H$411,'25.04'!$J$7:$J$411,$D30,'25.04'!$K$7:$K$411,V$3)</f>
        <v>0</v>
      </c>
      <c r="W30" s="235">
        <f>sumifs('25.04'!$H$7:$H$411,'25.04'!$J$7:$J$411,$D30,'25.04'!$K$7:$K$411,W$3)</f>
        <v>0</v>
      </c>
      <c r="X30" s="235">
        <f>sumifs('25.04'!$H$7:$H$411,'25.04'!$J$7:$J$411,$D30,'25.04'!$K$7:$K$411,X$3)</f>
        <v>0</v>
      </c>
      <c r="Y30" s="235">
        <f>sumifs('25.04'!$H$7:$H$411,'25.04'!$J$7:$J$411,$D30,'25.04'!$K$7:$K$411,Y$3)</f>
        <v>0</v>
      </c>
      <c r="Z30" s="235">
        <f>sumifs('25.04'!$H$7:$H$411,'25.04'!$J$7:$J$411,$D30,'25.04'!$K$7:$K$411,Z$3)</f>
        <v>0</v>
      </c>
      <c r="AA30" s="235">
        <f>sumifs('25.04'!$H$7:$H$411,'25.04'!$J$7:$J$411,$D30,'25.04'!$K$7:$K$411,AA$3)</f>
        <v>0</v>
      </c>
      <c r="AB30" s="235">
        <f>sumifs('25.04'!$H$7:$H$411,'25.04'!$J$7:$J$411,$D30,'25.04'!$K$7:$K$411,AB$3)</f>
        <v>0</v>
      </c>
      <c r="AC30" s="225">
        <f t="shared" si="8"/>
        <v>0</v>
      </c>
    </row>
    <row r="31">
      <c r="B31" s="237"/>
      <c r="C31" s="246" t="s">
        <v>86</v>
      </c>
      <c r="D31" s="247" t="s">
        <v>27</v>
      </c>
      <c r="E31" s="248">
        <f>sumifs('25.04'!$H$7:$H$411,'25.04'!$G$7:$G$411,$D31,'25.04'!$F$7:$F$411,E$3)</f>
        <v>0</v>
      </c>
      <c r="F31" s="248">
        <f>sumifs('25.04'!$H$7:$H$411,'25.04'!$G$7:$G$411,$D31,'25.04'!$F$7:$F$411,F$3)</f>
        <v>0</v>
      </c>
      <c r="G31" s="248">
        <f>sumifs('25.04'!$H$7:$H$411,'25.04'!$G$7:$G$411,$D31,'25.04'!$F$7:$F$411,G$3)</f>
        <v>176500</v>
      </c>
      <c r="H31" s="248">
        <f>sumifs('25.04'!$H$7:$H$411,'25.04'!$G$7:$G$411,$D31,'25.04'!$F$7:$F$411,H$3)</f>
        <v>0</v>
      </c>
      <c r="I31" s="248">
        <f>sumifs('25.04'!$H$7:$H$411,'25.04'!$G$7:$G$411,$D31,'25.04'!$F$7:$F$411,I$3)</f>
        <v>0</v>
      </c>
      <c r="J31" s="248">
        <f>sumifs('25.04'!$H$7:$H$411,'25.04'!$G$7:$G$411,$D31,'25.04'!$F$7:$F$411,J$3)</f>
        <v>0</v>
      </c>
      <c r="K31" s="248">
        <f>sumifs('25.04'!$H$7:$H$411,'25.04'!$G$7:$G$411,$D31,'25.04'!$F$7:$F$411,K$3)</f>
        <v>0</v>
      </c>
      <c r="L31" s="248">
        <f>sumifs('25.04'!$H$7:$H$411,'25.04'!$G$7:$G$411,$D31,'25.04'!$F$7:$F$411,L$3)</f>
        <v>0</v>
      </c>
      <c r="M31" s="248">
        <f>sumifs('25.04'!$H$7:$H$411,'25.04'!$G$7:$G$411,$D31,'25.04'!$F$7:$F$411,M$3)</f>
        <v>0</v>
      </c>
      <c r="N31" s="249">
        <f t="shared" si="1"/>
        <v>176500</v>
      </c>
      <c r="O31" s="250"/>
      <c r="P31" s="250">
        <f t="shared" si="9"/>
        <v>0.04929969297</v>
      </c>
      <c r="Q31" s="251">
        <f t="shared" si="10"/>
        <v>0.04929969297</v>
      </c>
      <c r="T31" s="248">
        <f>sumifs('25.04'!$H$7:$H$411,'25.04'!$J$7:$J$411,$D31,'25.04'!$K$7:$K$411,T$3)</f>
        <v>0</v>
      </c>
      <c r="U31" s="248">
        <f>sumifs('25.04'!$H$7:$H$411,'25.04'!$J$7:$J$411,$D31,'25.04'!$K$7:$K$411,U$3)</f>
        <v>0</v>
      </c>
      <c r="V31" s="248">
        <f>sumifs('25.04'!$H$7:$H$411,'25.04'!$J$7:$J$411,$D31,'25.04'!$K$7:$K$411,V$3)</f>
        <v>0</v>
      </c>
      <c r="W31" s="248">
        <f>sumifs('25.04'!$H$7:$H$411,'25.04'!$J$7:$J$411,$D31,'25.04'!$K$7:$K$411,W$3)</f>
        <v>0</v>
      </c>
      <c r="X31" s="248">
        <f>sumifs('25.04'!$H$7:$H$411,'25.04'!$J$7:$J$411,$D31,'25.04'!$K$7:$K$411,X$3)</f>
        <v>0</v>
      </c>
      <c r="Y31" s="248">
        <f>sumifs('25.04'!$H$7:$H$411,'25.04'!$J$7:$J$411,$D31,'25.04'!$K$7:$K$411,Y$3)</f>
        <v>0</v>
      </c>
      <c r="Z31" s="248">
        <f>sumifs('25.04'!$H$7:$H$411,'25.04'!$J$7:$J$411,$D31,'25.04'!$K$7:$K$411,Z$3)</f>
        <v>0</v>
      </c>
      <c r="AA31" s="248">
        <f>sumifs('25.04'!$H$7:$H$411,'25.04'!$J$7:$J$411,$D31,'25.04'!$K$7:$K$411,AA$3)</f>
        <v>0</v>
      </c>
      <c r="AB31" s="248">
        <f>sumifs('25.04'!$H$7:$H$411,'25.04'!$J$7:$J$411,$D31,'25.04'!$K$7:$K$411,AB$3)</f>
        <v>0</v>
      </c>
      <c r="AC31" s="249">
        <f t="shared" si="8"/>
        <v>0</v>
      </c>
    </row>
    <row r="32">
      <c r="B32" s="237"/>
      <c r="C32" s="244" t="s">
        <v>87</v>
      </c>
      <c r="D32" s="234" t="s">
        <v>88</v>
      </c>
      <c r="E32" s="235">
        <f>sumifs('25.04'!$H$7:$H$411,'25.04'!$G$7:$G$411,$D32,'25.04'!$F$7:$F$411,E$3)</f>
        <v>0</v>
      </c>
      <c r="F32" s="235">
        <f>sumifs('25.04'!$H$7:$H$411,'25.04'!$G$7:$G$411,$D32,'25.04'!$F$7:$F$411,F$3)</f>
        <v>0</v>
      </c>
      <c r="G32" s="235">
        <f>sumifs('25.04'!$H$7:$H$411,'25.04'!$G$7:$G$411,$D32,'25.04'!$F$7:$F$411,G$3)</f>
        <v>0</v>
      </c>
      <c r="H32" s="235">
        <f>sumifs('25.04'!$H$7:$H$411,'25.04'!$G$7:$G$411,$D32,'25.04'!$F$7:$F$411,H$3)</f>
        <v>0</v>
      </c>
      <c r="I32" s="235">
        <f>sumifs('25.04'!$H$7:$H$411,'25.04'!$G$7:$G$411,$D32,'25.04'!$F$7:$F$411,I$3)</f>
        <v>0</v>
      </c>
      <c r="J32" s="235">
        <f>sumifs('25.04'!$H$7:$H$411,'25.04'!$G$7:$G$411,$D32,'25.04'!$F$7:$F$411,J$3)</f>
        <v>0</v>
      </c>
      <c r="K32" s="235">
        <f>sumifs('25.04'!$H$7:$H$411,'25.04'!$G$7:$G$411,$D32,'25.04'!$F$7:$F$411,K$3)</f>
        <v>0</v>
      </c>
      <c r="L32" s="235">
        <f>sumifs('25.04'!$H$7:$H$411,'25.04'!$G$7:$G$411,$D32,'25.04'!$F$7:$F$411,L$3)</f>
        <v>0</v>
      </c>
      <c r="M32" s="235">
        <f>sumifs('25.04'!$H$7:$H$411,'25.04'!$G$7:$G$411,$D32,'25.04'!$F$7:$F$411,M$3)</f>
        <v>0</v>
      </c>
      <c r="N32" s="225">
        <f t="shared" si="1"/>
        <v>0</v>
      </c>
      <c r="O32" s="236"/>
      <c r="P32" s="236">
        <f t="shared" si="9"/>
        <v>0</v>
      </c>
      <c r="Q32" s="245" t="str">
        <f t="shared" ref="Q32:Q35" si="11">N32/sum(N$32:N$35)</f>
        <v>#DIV/0!</v>
      </c>
      <c r="T32" s="235">
        <f>sumifs('25.04'!$H$7:$H$411,'25.04'!$J$7:$J$411,$D32,'25.04'!$K$7:$K$411,T$3)</f>
        <v>0</v>
      </c>
      <c r="U32" s="235">
        <f>sumifs('25.04'!$H$7:$H$411,'25.04'!$J$7:$J$411,$D32,'25.04'!$K$7:$K$411,U$3)</f>
        <v>0</v>
      </c>
      <c r="V32" s="235">
        <f>sumifs('25.04'!$H$7:$H$411,'25.04'!$J$7:$J$411,$D32,'25.04'!$K$7:$K$411,V$3)</f>
        <v>0</v>
      </c>
      <c r="W32" s="235">
        <f>sumifs('25.04'!$H$7:$H$411,'25.04'!$J$7:$J$411,$D32,'25.04'!$K$7:$K$411,W$3)</f>
        <v>0</v>
      </c>
      <c r="X32" s="235">
        <f>sumifs('25.04'!$H$7:$H$411,'25.04'!$J$7:$J$411,$D32,'25.04'!$K$7:$K$411,X$3)</f>
        <v>0</v>
      </c>
      <c r="Y32" s="235">
        <f>sumifs('25.04'!$H$7:$H$411,'25.04'!$J$7:$J$411,$D32,'25.04'!$K$7:$K$411,Y$3)</f>
        <v>0</v>
      </c>
      <c r="Z32" s="235">
        <f>sumifs('25.04'!$H$7:$H$411,'25.04'!$J$7:$J$411,$D32,'25.04'!$K$7:$K$411,Z$3)</f>
        <v>0</v>
      </c>
      <c r="AA32" s="235">
        <f>sumifs('25.04'!$H$7:$H$411,'25.04'!$J$7:$J$411,$D32,'25.04'!$K$7:$K$411,AA$3)</f>
        <v>0</v>
      </c>
      <c r="AB32" s="235">
        <f>sumifs('25.04'!$H$7:$H$411,'25.04'!$J$7:$J$411,$D32,'25.04'!$K$7:$K$411,AB$3)</f>
        <v>0</v>
      </c>
      <c r="AC32" s="225">
        <f t="shared" si="8"/>
        <v>0</v>
      </c>
    </row>
    <row r="33">
      <c r="B33" s="237"/>
      <c r="C33" s="244" t="s">
        <v>89</v>
      </c>
      <c r="D33" s="234" t="s">
        <v>90</v>
      </c>
      <c r="E33" s="235">
        <f>sumifs('25.04'!$H$7:$H$411,'25.04'!$G$7:$G$411,$D33,'25.04'!$F$7:$F$411,E$3)</f>
        <v>0</v>
      </c>
      <c r="F33" s="235">
        <f>sumifs('25.04'!$H$7:$H$411,'25.04'!$G$7:$G$411,$D33,'25.04'!$F$7:$F$411,F$3)</f>
        <v>0</v>
      </c>
      <c r="G33" s="235">
        <f>sumifs('25.04'!$H$7:$H$411,'25.04'!$G$7:$G$411,$D33,'25.04'!$F$7:$F$411,G$3)</f>
        <v>0</v>
      </c>
      <c r="H33" s="235">
        <f>sumifs('25.04'!$H$7:$H$411,'25.04'!$G$7:$G$411,$D33,'25.04'!$F$7:$F$411,H$3)</f>
        <v>0</v>
      </c>
      <c r="I33" s="235">
        <f>sumifs('25.04'!$H$7:$H$411,'25.04'!$G$7:$G$411,$D33,'25.04'!$F$7:$F$411,I$3)</f>
        <v>0</v>
      </c>
      <c r="J33" s="235">
        <f>sumifs('25.04'!$H$7:$H$411,'25.04'!$G$7:$G$411,$D33,'25.04'!$F$7:$F$411,J$3)</f>
        <v>0</v>
      </c>
      <c r="K33" s="235">
        <f>sumifs('25.04'!$H$7:$H$411,'25.04'!$G$7:$G$411,$D33,'25.04'!$F$7:$F$411,K$3)</f>
        <v>0</v>
      </c>
      <c r="L33" s="235">
        <f>sumifs('25.04'!$H$7:$H$411,'25.04'!$G$7:$G$411,$D33,'25.04'!$F$7:$F$411,L$3)</f>
        <v>0</v>
      </c>
      <c r="M33" s="235">
        <f>sumifs('25.04'!$H$7:$H$411,'25.04'!$G$7:$G$411,$D33,'25.04'!$F$7:$F$411,M$3)</f>
        <v>0</v>
      </c>
      <c r="N33" s="225">
        <f t="shared" si="1"/>
        <v>0</v>
      </c>
      <c r="O33" s="236"/>
      <c r="P33" s="236">
        <f t="shared" si="9"/>
        <v>0</v>
      </c>
      <c r="Q33" s="245" t="str">
        <f t="shared" si="11"/>
        <v>#DIV/0!</v>
      </c>
      <c r="T33" s="235">
        <f>sumifs('25.04'!$H$7:$H$411,'25.04'!$J$7:$J$411,$D33,'25.04'!$K$7:$K$411,T$3)</f>
        <v>0</v>
      </c>
      <c r="U33" s="235">
        <f>sumifs('25.04'!$H$7:$H$411,'25.04'!$J$7:$J$411,$D33,'25.04'!$K$7:$K$411,U$3)</f>
        <v>0</v>
      </c>
      <c r="V33" s="235">
        <f>sumifs('25.04'!$H$7:$H$411,'25.04'!$J$7:$J$411,$D33,'25.04'!$K$7:$K$411,V$3)</f>
        <v>0</v>
      </c>
      <c r="W33" s="235">
        <f>sumifs('25.04'!$H$7:$H$411,'25.04'!$J$7:$J$411,$D33,'25.04'!$K$7:$K$411,W$3)</f>
        <v>0</v>
      </c>
      <c r="X33" s="235">
        <f>sumifs('25.04'!$H$7:$H$411,'25.04'!$J$7:$J$411,$D33,'25.04'!$K$7:$K$411,X$3)</f>
        <v>0</v>
      </c>
      <c r="Y33" s="235">
        <f>sumifs('25.04'!$H$7:$H$411,'25.04'!$J$7:$J$411,$D33,'25.04'!$K$7:$K$411,Y$3)</f>
        <v>0</v>
      </c>
      <c r="Z33" s="235">
        <f>sumifs('25.04'!$H$7:$H$411,'25.04'!$J$7:$J$411,$D33,'25.04'!$K$7:$K$411,Z$3)</f>
        <v>0</v>
      </c>
      <c r="AA33" s="235">
        <f>sumifs('25.04'!$H$7:$H$411,'25.04'!$J$7:$J$411,$D33,'25.04'!$K$7:$K$411,AA$3)</f>
        <v>0</v>
      </c>
      <c r="AB33" s="235">
        <f>sumifs('25.04'!$H$7:$H$411,'25.04'!$J$7:$J$411,$D33,'25.04'!$K$7:$K$411,AB$3)</f>
        <v>0</v>
      </c>
      <c r="AC33" s="225">
        <f t="shared" si="8"/>
        <v>0</v>
      </c>
    </row>
    <row r="34">
      <c r="B34" s="237"/>
      <c r="C34" s="244" t="s">
        <v>91</v>
      </c>
      <c r="D34" s="234" t="s">
        <v>92</v>
      </c>
      <c r="E34" s="235">
        <f>sumifs('25.04'!$H$7:$H$411,'25.04'!$G$7:$G$411,$D34,'25.04'!$F$7:$F$411,E$3)</f>
        <v>0</v>
      </c>
      <c r="F34" s="235">
        <f>sumifs('25.04'!$H$7:$H$411,'25.04'!$G$7:$G$411,$D34,'25.04'!$F$7:$F$411,F$3)</f>
        <v>0</v>
      </c>
      <c r="G34" s="235">
        <f>sumifs('25.04'!$H$7:$H$411,'25.04'!$G$7:$G$411,$D34,'25.04'!$F$7:$F$411,G$3)</f>
        <v>0</v>
      </c>
      <c r="H34" s="235">
        <f>sumifs('25.04'!$H$7:$H$411,'25.04'!$G$7:$G$411,$D34,'25.04'!$F$7:$F$411,H$3)</f>
        <v>0</v>
      </c>
      <c r="I34" s="235">
        <f>sumifs('25.04'!$H$7:$H$411,'25.04'!$G$7:$G$411,$D34,'25.04'!$F$7:$F$411,I$3)</f>
        <v>0</v>
      </c>
      <c r="J34" s="235">
        <f>sumifs('25.04'!$H$7:$H$411,'25.04'!$G$7:$G$411,$D34,'25.04'!$F$7:$F$411,J$3)</f>
        <v>0</v>
      </c>
      <c r="K34" s="235">
        <f>sumifs('25.04'!$H$7:$H$411,'25.04'!$G$7:$G$411,$D34,'25.04'!$F$7:$F$411,K$3)</f>
        <v>0</v>
      </c>
      <c r="L34" s="235">
        <f>sumifs('25.04'!$H$7:$H$411,'25.04'!$G$7:$G$411,$D34,'25.04'!$F$7:$F$411,L$3)</f>
        <v>0</v>
      </c>
      <c r="M34" s="235">
        <f>sumifs('25.04'!$H$7:$H$411,'25.04'!$G$7:$G$411,$D34,'25.04'!$F$7:$F$411,M$3)</f>
        <v>0</v>
      </c>
      <c r="N34" s="225">
        <f t="shared" si="1"/>
        <v>0</v>
      </c>
      <c r="O34" s="236"/>
      <c r="P34" s="236">
        <f t="shared" si="9"/>
        <v>0</v>
      </c>
      <c r="Q34" s="245" t="str">
        <f t="shared" si="11"/>
        <v>#DIV/0!</v>
      </c>
      <c r="T34" s="235">
        <f>sumifs('25.04'!$H$7:$H$411,'25.04'!$J$7:$J$411,$D34,'25.04'!$K$7:$K$411,T$3)</f>
        <v>0</v>
      </c>
      <c r="U34" s="235">
        <f>sumifs('25.04'!$H$7:$H$411,'25.04'!$J$7:$J$411,$D34,'25.04'!$K$7:$K$411,U$3)</f>
        <v>0</v>
      </c>
      <c r="V34" s="235">
        <f>sumifs('25.04'!$H$7:$H$411,'25.04'!$J$7:$J$411,$D34,'25.04'!$K$7:$K$411,V$3)</f>
        <v>0</v>
      </c>
      <c r="W34" s="235">
        <f>sumifs('25.04'!$H$7:$H$411,'25.04'!$J$7:$J$411,$D34,'25.04'!$K$7:$K$411,W$3)</f>
        <v>0</v>
      </c>
      <c r="X34" s="235">
        <f>sumifs('25.04'!$H$7:$H$411,'25.04'!$J$7:$J$411,$D34,'25.04'!$K$7:$K$411,X$3)</f>
        <v>0</v>
      </c>
      <c r="Y34" s="235">
        <f>sumifs('25.04'!$H$7:$H$411,'25.04'!$J$7:$J$411,$D34,'25.04'!$K$7:$K$411,Y$3)</f>
        <v>0</v>
      </c>
      <c r="Z34" s="235">
        <f>sumifs('25.04'!$H$7:$H$411,'25.04'!$J$7:$J$411,$D34,'25.04'!$K$7:$K$411,Z$3)</f>
        <v>0</v>
      </c>
      <c r="AA34" s="235">
        <f>sumifs('25.04'!$H$7:$H$411,'25.04'!$J$7:$J$411,$D34,'25.04'!$K$7:$K$411,AA$3)</f>
        <v>0</v>
      </c>
      <c r="AB34" s="235">
        <f>sumifs('25.04'!$H$7:$H$411,'25.04'!$J$7:$J$411,$D34,'25.04'!$K$7:$K$411,AB$3)</f>
        <v>0</v>
      </c>
      <c r="AC34" s="225">
        <f t="shared" si="8"/>
        <v>0</v>
      </c>
    </row>
    <row r="35">
      <c r="B35" s="237"/>
      <c r="C35" s="246" t="s">
        <v>93</v>
      </c>
      <c r="D35" s="247" t="s">
        <v>94</v>
      </c>
      <c r="E35" s="248">
        <f>sumifs('25.04'!$H$7:$H$411,'25.04'!$G$7:$G$411,$D35,'25.04'!$F$7:$F$411,E$3)</f>
        <v>0</v>
      </c>
      <c r="F35" s="248">
        <f>sumifs('25.04'!$H$7:$H$411,'25.04'!$G$7:$G$411,$D35,'25.04'!$F$7:$F$411,F$3)</f>
        <v>0</v>
      </c>
      <c r="G35" s="248">
        <f>sumifs('25.04'!$H$7:$H$411,'25.04'!$G$7:$G$411,$D35,'25.04'!$F$7:$F$411,G$3)</f>
        <v>0</v>
      </c>
      <c r="H35" s="248">
        <f>sumifs('25.04'!$H$7:$H$411,'25.04'!$G$7:$G$411,$D35,'25.04'!$F$7:$F$411,H$3)</f>
        <v>0</v>
      </c>
      <c r="I35" s="248">
        <f>sumifs('25.04'!$H$7:$H$411,'25.04'!$G$7:$G$411,$D35,'25.04'!$F$7:$F$411,I$3)</f>
        <v>0</v>
      </c>
      <c r="J35" s="248">
        <f>sumifs('25.04'!$H$7:$H$411,'25.04'!$G$7:$G$411,$D35,'25.04'!$F$7:$F$411,J$3)</f>
        <v>0</v>
      </c>
      <c r="K35" s="248">
        <f>sumifs('25.04'!$H$7:$H$411,'25.04'!$G$7:$G$411,$D35,'25.04'!$F$7:$F$411,K$3)</f>
        <v>0</v>
      </c>
      <c r="L35" s="248">
        <f>sumifs('25.04'!$H$7:$H$411,'25.04'!$G$7:$G$411,$D35,'25.04'!$F$7:$F$411,L$3)</f>
        <v>0</v>
      </c>
      <c r="M35" s="248">
        <f>sumifs('25.04'!$H$7:$H$411,'25.04'!$G$7:$G$411,$D35,'25.04'!$F$7:$F$411,M$3)</f>
        <v>0</v>
      </c>
      <c r="N35" s="249">
        <f t="shared" si="1"/>
        <v>0</v>
      </c>
      <c r="O35" s="250"/>
      <c r="P35" s="250">
        <f t="shared" si="9"/>
        <v>0</v>
      </c>
      <c r="Q35" s="251" t="str">
        <f t="shared" si="11"/>
        <v>#DIV/0!</v>
      </c>
      <c r="T35" s="248">
        <f>sumifs('25.04'!$H$7:$H$411,'25.04'!$J$7:$J$411,$D35,'25.04'!$K$7:$K$411,T$3)</f>
        <v>0</v>
      </c>
      <c r="U35" s="248">
        <f>sumifs('25.04'!$H$7:$H$411,'25.04'!$J$7:$J$411,$D35,'25.04'!$K$7:$K$411,U$3)</f>
        <v>0</v>
      </c>
      <c r="V35" s="248">
        <f>sumifs('25.04'!$H$7:$H$411,'25.04'!$J$7:$J$411,$D35,'25.04'!$K$7:$K$411,V$3)</f>
        <v>0</v>
      </c>
      <c r="W35" s="248">
        <f>sumifs('25.04'!$H$7:$H$411,'25.04'!$J$7:$J$411,$D35,'25.04'!$K$7:$K$411,W$3)</f>
        <v>0</v>
      </c>
      <c r="X35" s="248">
        <f>sumifs('25.04'!$H$7:$H$411,'25.04'!$J$7:$J$411,$D35,'25.04'!$K$7:$K$411,X$3)</f>
        <v>0</v>
      </c>
      <c r="Y35" s="248">
        <f>sumifs('25.04'!$H$7:$H$411,'25.04'!$J$7:$J$411,$D35,'25.04'!$K$7:$K$411,Y$3)</f>
        <v>0</v>
      </c>
      <c r="Z35" s="248">
        <f>sumifs('25.04'!$H$7:$H$411,'25.04'!$J$7:$J$411,$D35,'25.04'!$K$7:$K$411,Z$3)</f>
        <v>0</v>
      </c>
      <c r="AA35" s="248">
        <f>sumifs('25.04'!$H$7:$H$411,'25.04'!$J$7:$J$411,$D35,'25.04'!$K$7:$K$411,AA$3)</f>
        <v>0</v>
      </c>
      <c r="AB35" s="248">
        <f>sumifs('25.04'!$H$7:$H$411,'25.04'!$J$7:$J$411,$D35,'25.04'!$K$7:$K$411,AB$3)</f>
        <v>0</v>
      </c>
      <c r="AC35" s="249">
        <f t="shared" si="8"/>
        <v>0</v>
      </c>
    </row>
    <row r="36">
      <c r="B36" s="237"/>
      <c r="C36" s="244" t="s">
        <v>95</v>
      </c>
      <c r="D36" s="234" t="s">
        <v>96</v>
      </c>
      <c r="E36" s="235">
        <f>sumifs('25.04'!$H$7:$H$411,'25.04'!$G$7:$G$411,$D36,'25.04'!$F$7:$F$411,E$3)</f>
        <v>0</v>
      </c>
      <c r="F36" s="235">
        <f>sumifs('25.04'!$H$7:$H$411,'25.04'!$G$7:$G$411,$D36,'25.04'!$F$7:$F$411,F$3)</f>
        <v>0</v>
      </c>
      <c r="G36" s="235">
        <f>sumifs('25.04'!$H$7:$H$411,'25.04'!$G$7:$G$411,$D36,'25.04'!$F$7:$F$411,G$3)</f>
        <v>0</v>
      </c>
      <c r="H36" s="235">
        <f>sumifs('25.04'!$H$7:$H$411,'25.04'!$G$7:$G$411,$D36,'25.04'!$F$7:$F$411,H$3)</f>
        <v>0</v>
      </c>
      <c r="I36" s="235">
        <f>sumifs('25.04'!$H$7:$H$411,'25.04'!$G$7:$G$411,$D36,'25.04'!$F$7:$F$411,I$3)</f>
        <v>0</v>
      </c>
      <c r="J36" s="235">
        <f>sumifs('25.04'!$H$7:$H$411,'25.04'!$G$7:$G$411,$D36,'25.04'!$F$7:$F$411,J$3)</f>
        <v>0</v>
      </c>
      <c r="K36" s="235">
        <f>sumifs('25.04'!$H$7:$H$411,'25.04'!$G$7:$G$411,$D36,'25.04'!$F$7:$F$411,K$3)</f>
        <v>0</v>
      </c>
      <c r="L36" s="235">
        <f>sumifs('25.04'!$H$7:$H$411,'25.04'!$G$7:$G$411,$D36,'25.04'!$F$7:$F$411,L$3)</f>
        <v>0</v>
      </c>
      <c r="M36" s="235">
        <f>sumifs('25.04'!$H$7:$H$411,'25.04'!$G$7:$G$411,$D36,'25.04'!$F$7:$F$411,M$3)</f>
        <v>0</v>
      </c>
      <c r="N36" s="225">
        <f t="shared" si="1"/>
        <v>0</v>
      </c>
      <c r="O36" s="236"/>
      <c r="P36" s="236">
        <f t="shared" si="9"/>
        <v>0</v>
      </c>
      <c r="Q36" s="245" t="str">
        <f>N36/sum(N$36:N$40)</f>
        <v>#DIV/0!</v>
      </c>
      <c r="T36" s="235">
        <f>sumifs('25.04'!$H$7:$H$411,'25.04'!$J$7:$J$411,$D36,'25.04'!$K$7:$K$411,T$3)</f>
        <v>0</v>
      </c>
      <c r="U36" s="235">
        <f>sumifs('25.04'!$H$7:$H$411,'25.04'!$J$7:$J$411,$D36,'25.04'!$K$7:$K$411,U$3)</f>
        <v>0</v>
      </c>
      <c r="V36" s="235">
        <f>sumifs('25.04'!$H$7:$H$411,'25.04'!$J$7:$J$411,$D36,'25.04'!$K$7:$K$411,V$3)</f>
        <v>0</v>
      </c>
      <c r="W36" s="235">
        <f>sumifs('25.04'!$H$7:$H$411,'25.04'!$J$7:$J$411,$D36,'25.04'!$K$7:$K$411,W$3)</f>
        <v>0</v>
      </c>
      <c r="X36" s="235">
        <f>sumifs('25.04'!$H$7:$H$411,'25.04'!$J$7:$J$411,$D36,'25.04'!$K$7:$K$411,X$3)</f>
        <v>0</v>
      </c>
      <c r="Y36" s="235">
        <f>sumifs('25.04'!$H$7:$H$411,'25.04'!$J$7:$J$411,$D36,'25.04'!$K$7:$K$411,Y$3)</f>
        <v>0</v>
      </c>
      <c r="Z36" s="235">
        <f>sumifs('25.04'!$H$7:$H$411,'25.04'!$J$7:$J$411,$D36,'25.04'!$K$7:$K$411,Z$3)</f>
        <v>0</v>
      </c>
      <c r="AA36" s="235">
        <f>sumifs('25.04'!$H$7:$H$411,'25.04'!$J$7:$J$411,$D36,'25.04'!$K$7:$K$411,AA$3)</f>
        <v>0</v>
      </c>
      <c r="AB36" s="235">
        <f>sumifs('25.04'!$H$7:$H$411,'25.04'!$J$7:$J$411,$D36,'25.04'!$K$7:$K$411,AB$3)</f>
        <v>0</v>
      </c>
      <c r="AC36" s="225">
        <f t="shared" si="8"/>
        <v>0</v>
      </c>
    </row>
    <row r="37">
      <c r="B37" s="237"/>
      <c r="C37" s="244"/>
      <c r="D37" s="234" t="s">
        <v>97</v>
      </c>
      <c r="E37" s="235"/>
      <c r="F37" s="235"/>
      <c r="G37" s="235"/>
      <c r="H37" s="235"/>
      <c r="I37" s="235"/>
      <c r="J37" s="235"/>
      <c r="K37" s="235"/>
      <c r="L37" s="235"/>
      <c r="M37" s="235"/>
      <c r="N37" s="225"/>
      <c r="O37" s="236"/>
      <c r="P37" s="236"/>
      <c r="Q37" s="245"/>
      <c r="T37" s="235"/>
      <c r="U37" s="235"/>
      <c r="V37" s="235"/>
      <c r="W37" s="235"/>
      <c r="X37" s="235"/>
      <c r="Y37" s="235"/>
      <c r="Z37" s="235"/>
      <c r="AA37" s="235"/>
      <c r="AB37" s="235"/>
      <c r="AC37" s="225"/>
    </row>
    <row r="38">
      <c r="B38" s="237"/>
      <c r="C38" s="244" t="s">
        <v>98</v>
      </c>
      <c r="D38" s="234" t="s">
        <v>99</v>
      </c>
      <c r="E38" s="235">
        <f>sumifs('25.04'!$H$7:$H$411,'25.04'!$G$7:$G$411,$D38,'25.04'!$F$7:$F$411,E$3)</f>
        <v>0</v>
      </c>
      <c r="F38" s="235">
        <f>sumifs('25.04'!$H$7:$H$411,'25.04'!$G$7:$G$411,$D38,'25.04'!$F$7:$F$411,F$3)</f>
        <v>0</v>
      </c>
      <c r="G38" s="235">
        <f>sumifs('25.04'!$H$7:$H$411,'25.04'!$G$7:$G$411,$D38,'25.04'!$F$7:$F$411,G$3)</f>
        <v>0</v>
      </c>
      <c r="H38" s="235">
        <f>sumifs('25.04'!$H$7:$H$411,'25.04'!$G$7:$G$411,$D38,'25.04'!$F$7:$F$411,H$3)</f>
        <v>0</v>
      </c>
      <c r="I38" s="235">
        <f>sumifs('25.04'!$H$7:$H$411,'25.04'!$G$7:$G$411,$D38,'25.04'!$F$7:$F$411,I$3)</f>
        <v>0</v>
      </c>
      <c r="J38" s="235">
        <f>sumifs('25.04'!$H$7:$H$411,'25.04'!$G$7:$G$411,$D38,'25.04'!$F$7:$F$411,J$3)</f>
        <v>0</v>
      </c>
      <c r="K38" s="235">
        <f>sumifs('25.04'!$H$7:$H$411,'25.04'!$G$7:$G$411,$D38,'25.04'!$F$7:$F$411,K$3)</f>
        <v>0</v>
      </c>
      <c r="L38" s="235">
        <f>sumifs('25.04'!$H$7:$H$411,'25.04'!$G$7:$G$411,$D38,'25.04'!$F$7:$F$411,L$3)</f>
        <v>0</v>
      </c>
      <c r="M38" s="235">
        <f>sumifs('25.04'!$H$7:$H$411,'25.04'!$G$7:$G$411,$D38,'25.04'!$F$7:$F$411,M$3)</f>
        <v>0</v>
      </c>
      <c r="N38" s="225">
        <f t="shared" ref="N38:N59" si="12">sum(E38:M38)</f>
        <v>0</v>
      </c>
      <c r="O38" s="236"/>
      <c r="P38" s="236">
        <f t="shared" ref="P38:P47" si="13">N38/sum(N$29:N$47)</f>
        <v>0</v>
      </c>
      <c r="Q38" s="245" t="str">
        <f t="shared" ref="Q38:Q40" si="14">N38/sum(N$36:N$40)</f>
        <v>#DIV/0!</v>
      </c>
      <c r="T38" s="235">
        <f>sumifs('25.04'!$H$7:$H$411,'25.04'!$J$7:$J$411,$D38,'25.04'!$K$7:$K$411,T$3)</f>
        <v>0</v>
      </c>
      <c r="U38" s="235">
        <f>sumifs('25.04'!$H$7:$H$411,'25.04'!$J$7:$J$411,$D38,'25.04'!$K$7:$K$411,U$3)</f>
        <v>0</v>
      </c>
      <c r="V38" s="235">
        <f>sumifs('25.04'!$H$7:$H$411,'25.04'!$J$7:$J$411,$D38,'25.04'!$K$7:$K$411,V$3)</f>
        <v>0</v>
      </c>
      <c r="W38" s="235">
        <f>sumifs('25.04'!$H$7:$H$411,'25.04'!$J$7:$J$411,$D38,'25.04'!$K$7:$K$411,W$3)</f>
        <v>0</v>
      </c>
      <c r="X38" s="235">
        <f>sumifs('25.04'!$H$7:$H$411,'25.04'!$J$7:$J$411,$D38,'25.04'!$K$7:$K$411,X$3)</f>
        <v>0</v>
      </c>
      <c r="Y38" s="235">
        <f>sumifs('25.04'!$H$7:$H$411,'25.04'!$J$7:$J$411,$D38,'25.04'!$K$7:$K$411,Y$3)</f>
        <v>0</v>
      </c>
      <c r="Z38" s="235">
        <f>sumifs('25.04'!$H$7:$H$411,'25.04'!$J$7:$J$411,$D38,'25.04'!$K$7:$K$411,Z$3)</f>
        <v>0</v>
      </c>
      <c r="AA38" s="235">
        <f>sumifs('25.04'!$H$7:$H$411,'25.04'!$J$7:$J$411,$D38,'25.04'!$K$7:$K$411,AA$3)</f>
        <v>0</v>
      </c>
      <c r="AB38" s="235">
        <f>sumifs('25.04'!$H$7:$H$411,'25.04'!$J$7:$J$411,$D38,'25.04'!$K$7:$K$411,AB$3)</f>
        <v>0</v>
      </c>
      <c r="AC38" s="225">
        <f t="shared" ref="AC38:AC59" si="15">sum(T38:AB38)</f>
        <v>0</v>
      </c>
    </row>
    <row r="39">
      <c r="B39" s="237"/>
      <c r="C39" s="244" t="s">
        <v>100</v>
      </c>
      <c r="D39" s="234" t="s">
        <v>101</v>
      </c>
      <c r="E39" s="235">
        <f>sumifs('25.04'!$H$7:$H$411,'25.04'!$G$7:$G$411,$D39,'25.04'!$F$7:$F$411,E$3)</f>
        <v>0</v>
      </c>
      <c r="F39" s="235">
        <f>sumifs('25.04'!$H$7:$H$411,'25.04'!$G$7:$G$411,$D39,'25.04'!$F$7:$F$411,F$3)</f>
        <v>0</v>
      </c>
      <c r="G39" s="235">
        <f>sumifs('25.04'!$H$7:$H$411,'25.04'!$G$7:$G$411,$D39,'25.04'!$F$7:$F$411,G$3)</f>
        <v>0</v>
      </c>
      <c r="H39" s="235">
        <f>sumifs('25.04'!$H$7:$H$411,'25.04'!$G$7:$G$411,$D39,'25.04'!$F$7:$F$411,H$3)</f>
        <v>0</v>
      </c>
      <c r="I39" s="235">
        <f>sumifs('25.04'!$H$7:$H$411,'25.04'!$G$7:$G$411,$D39,'25.04'!$F$7:$F$411,I$3)</f>
        <v>0</v>
      </c>
      <c r="J39" s="235">
        <f>sumifs('25.04'!$H$7:$H$411,'25.04'!$G$7:$G$411,$D39,'25.04'!$F$7:$F$411,J$3)</f>
        <v>0</v>
      </c>
      <c r="K39" s="235">
        <f>sumifs('25.04'!$H$7:$H$411,'25.04'!$G$7:$G$411,$D39,'25.04'!$F$7:$F$411,K$3)</f>
        <v>0</v>
      </c>
      <c r="L39" s="235">
        <f>sumifs('25.04'!$H$7:$H$411,'25.04'!$G$7:$G$411,$D39,'25.04'!$F$7:$F$411,L$3)</f>
        <v>0</v>
      </c>
      <c r="M39" s="235">
        <f>sumifs('25.04'!$H$7:$H$411,'25.04'!$G$7:$G$411,$D39,'25.04'!$F$7:$F$411,M$3)</f>
        <v>0</v>
      </c>
      <c r="N39" s="225">
        <f t="shared" si="12"/>
        <v>0</v>
      </c>
      <c r="O39" s="236"/>
      <c r="P39" s="236">
        <f t="shared" si="13"/>
        <v>0</v>
      </c>
      <c r="Q39" s="245" t="str">
        <f t="shared" si="14"/>
        <v>#DIV/0!</v>
      </c>
      <c r="T39" s="235">
        <f>sumifs('25.04'!$H$7:$H$411,'25.04'!$J$7:$J$411,$D39,'25.04'!$K$7:$K$411,T$3)</f>
        <v>0</v>
      </c>
      <c r="U39" s="235">
        <f>sumifs('25.04'!$H$7:$H$411,'25.04'!$J$7:$J$411,$D39,'25.04'!$K$7:$K$411,U$3)</f>
        <v>0</v>
      </c>
      <c r="V39" s="235">
        <f>sumifs('25.04'!$H$7:$H$411,'25.04'!$J$7:$J$411,$D39,'25.04'!$K$7:$K$411,V$3)</f>
        <v>0</v>
      </c>
      <c r="W39" s="235">
        <f>sumifs('25.04'!$H$7:$H$411,'25.04'!$J$7:$J$411,$D39,'25.04'!$K$7:$K$411,W$3)</f>
        <v>0</v>
      </c>
      <c r="X39" s="235">
        <f>sumifs('25.04'!$H$7:$H$411,'25.04'!$J$7:$J$411,$D39,'25.04'!$K$7:$K$411,X$3)</f>
        <v>0</v>
      </c>
      <c r="Y39" s="235">
        <f>sumifs('25.04'!$H$7:$H$411,'25.04'!$J$7:$J$411,$D39,'25.04'!$K$7:$K$411,Y$3)</f>
        <v>0</v>
      </c>
      <c r="Z39" s="235">
        <f>sumifs('25.04'!$H$7:$H$411,'25.04'!$J$7:$J$411,$D39,'25.04'!$K$7:$K$411,Z$3)</f>
        <v>0</v>
      </c>
      <c r="AA39" s="235">
        <f>sumifs('25.04'!$H$7:$H$411,'25.04'!$J$7:$J$411,$D39,'25.04'!$K$7:$K$411,AA$3)</f>
        <v>0</v>
      </c>
      <c r="AB39" s="235">
        <f>sumifs('25.04'!$H$7:$H$411,'25.04'!$J$7:$J$411,$D39,'25.04'!$K$7:$K$411,AB$3)</f>
        <v>0</v>
      </c>
      <c r="AC39" s="225">
        <f t="shared" si="15"/>
        <v>0</v>
      </c>
    </row>
    <row r="40">
      <c r="B40" s="237"/>
      <c r="C40" s="246" t="s">
        <v>102</v>
      </c>
      <c r="D40" s="247" t="s">
        <v>103</v>
      </c>
      <c r="E40" s="248">
        <f>sumifs('25.04'!$H$7:$H$411,'25.04'!$G$7:$G$411,$D40,'25.04'!$F$7:$F$411,E$3)</f>
        <v>0</v>
      </c>
      <c r="F40" s="248">
        <f>sumifs('25.04'!$H$7:$H$411,'25.04'!$G$7:$G$411,$D40,'25.04'!$F$7:$F$411,F$3)</f>
        <v>0</v>
      </c>
      <c r="G40" s="248">
        <f>sumifs('25.04'!$H$7:$H$411,'25.04'!$G$7:$G$411,$D40,'25.04'!$F$7:$F$411,G$3)</f>
        <v>0</v>
      </c>
      <c r="H40" s="248">
        <f>sumifs('25.04'!$H$7:$H$411,'25.04'!$G$7:$G$411,$D40,'25.04'!$F$7:$F$411,H$3)</f>
        <v>0</v>
      </c>
      <c r="I40" s="248">
        <f>sumifs('25.04'!$H$7:$H$411,'25.04'!$G$7:$G$411,$D40,'25.04'!$F$7:$F$411,I$3)</f>
        <v>0</v>
      </c>
      <c r="J40" s="248">
        <f>sumifs('25.04'!$H$7:$H$411,'25.04'!$G$7:$G$411,$D40,'25.04'!$F$7:$F$411,J$3)</f>
        <v>0</v>
      </c>
      <c r="K40" s="248">
        <f>sumifs('25.04'!$H$7:$H$411,'25.04'!$G$7:$G$411,$D40,'25.04'!$F$7:$F$411,K$3)</f>
        <v>0</v>
      </c>
      <c r="L40" s="248">
        <f>sumifs('25.04'!$H$7:$H$411,'25.04'!$G$7:$G$411,$D40,'25.04'!$F$7:$F$411,L$3)</f>
        <v>0</v>
      </c>
      <c r="M40" s="248">
        <f>sumifs('25.04'!$H$7:$H$411,'25.04'!$G$7:$G$411,$D40,'25.04'!$F$7:$F$411,M$3)</f>
        <v>0</v>
      </c>
      <c r="N40" s="249">
        <f t="shared" si="12"/>
        <v>0</v>
      </c>
      <c r="O40" s="250"/>
      <c r="P40" s="250">
        <f t="shared" si="13"/>
        <v>0</v>
      </c>
      <c r="Q40" s="251" t="str">
        <f t="shared" si="14"/>
        <v>#DIV/0!</v>
      </c>
      <c r="T40" s="248">
        <f>sumifs('25.04'!$H$7:$H$411,'25.04'!$J$7:$J$411,$D40,'25.04'!$K$7:$K$411,T$3)</f>
        <v>0</v>
      </c>
      <c r="U40" s="248">
        <f>sumifs('25.04'!$H$7:$H$411,'25.04'!$J$7:$J$411,$D40,'25.04'!$K$7:$K$411,U$3)</f>
        <v>0</v>
      </c>
      <c r="V40" s="248">
        <f>sumifs('25.04'!$H$7:$H$411,'25.04'!$J$7:$J$411,$D40,'25.04'!$K$7:$K$411,V$3)</f>
        <v>0</v>
      </c>
      <c r="W40" s="248">
        <f>sumifs('25.04'!$H$7:$H$411,'25.04'!$J$7:$J$411,$D40,'25.04'!$K$7:$K$411,W$3)</f>
        <v>0</v>
      </c>
      <c r="X40" s="248">
        <f>sumifs('25.04'!$H$7:$H$411,'25.04'!$J$7:$J$411,$D40,'25.04'!$K$7:$K$411,X$3)</f>
        <v>0</v>
      </c>
      <c r="Y40" s="248">
        <f>sumifs('25.04'!$H$7:$H$411,'25.04'!$J$7:$J$411,$D40,'25.04'!$K$7:$K$411,Y$3)</f>
        <v>0</v>
      </c>
      <c r="Z40" s="248">
        <f>sumifs('25.04'!$H$7:$H$411,'25.04'!$J$7:$J$411,$D40,'25.04'!$K$7:$K$411,Z$3)</f>
        <v>0</v>
      </c>
      <c r="AA40" s="248">
        <f>sumifs('25.04'!$H$7:$H$411,'25.04'!$J$7:$J$411,$D40,'25.04'!$K$7:$K$411,AA$3)</f>
        <v>0</v>
      </c>
      <c r="AB40" s="248">
        <f>sumifs('25.04'!$H$7:$H$411,'25.04'!$J$7:$J$411,$D40,'25.04'!$K$7:$K$411,AB$3)</f>
        <v>0</v>
      </c>
      <c r="AC40" s="249">
        <f t="shared" si="15"/>
        <v>0</v>
      </c>
    </row>
    <row r="41">
      <c r="B41" s="237"/>
      <c r="C41" s="244" t="s">
        <v>104</v>
      </c>
      <c r="D41" s="234" t="s">
        <v>105</v>
      </c>
      <c r="E41" s="235">
        <f>sumifs('25.04'!$H$7:$H$411,'25.04'!$G$7:$G$411,$D41,'25.04'!$F$7:$F$411,E$3)</f>
        <v>0</v>
      </c>
      <c r="F41" s="235">
        <f>sumifs('25.04'!$H$7:$H$411,'25.04'!$G$7:$G$411,$D41,'25.04'!$F$7:$F$411,F$3)</f>
        <v>0</v>
      </c>
      <c r="G41" s="235">
        <f>sumifs('25.04'!$H$7:$H$411,'25.04'!$G$7:$G$411,$D41,'25.04'!$F$7:$F$411,G$3)</f>
        <v>0</v>
      </c>
      <c r="H41" s="235">
        <f>sumifs('25.04'!$H$7:$H$411,'25.04'!$G$7:$G$411,$D41,'25.04'!$F$7:$F$411,H$3)</f>
        <v>0</v>
      </c>
      <c r="I41" s="235">
        <f>sumifs('25.04'!$H$7:$H$411,'25.04'!$G$7:$G$411,$D41,'25.04'!$F$7:$F$411,I$3)</f>
        <v>0</v>
      </c>
      <c r="J41" s="235">
        <f>sumifs('25.04'!$H$7:$H$411,'25.04'!$G$7:$G$411,$D41,'25.04'!$F$7:$F$411,J$3)</f>
        <v>0</v>
      </c>
      <c r="K41" s="235">
        <f>sumifs('25.04'!$H$7:$H$411,'25.04'!$G$7:$G$411,$D41,'25.04'!$F$7:$F$411,K$3)</f>
        <v>0</v>
      </c>
      <c r="L41" s="235">
        <f>sumifs('25.04'!$H$7:$H$411,'25.04'!$G$7:$G$411,$D41,'25.04'!$F$7:$F$411,L$3)</f>
        <v>0</v>
      </c>
      <c r="M41" s="235">
        <f>sumifs('25.04'!$H$7:$H$411,'25.04'!$G$7:$G$411,$D41,'25.04'!$F$7:$F$411,M$3)</f>
        <v>0</v>
      </c>
      <c r="N41" s="225">
        <f t="shared" si="12"/>
        <v>0</v>
      </c>
      <c r="O41" s="236"/>
      <c r="P41" s="236">
        <f t="shared" si="13"/>
        <v>0</v>
      </c>
      <c r="Q41" s="245" t="str">
        <f t="shared" ref="Q41:Q43" si="16">N41/sum(N$41:N$43)</f>
        <v>#DIV/0!</v>
      </c>
      <c r="T41" s="235">
        <f>sumifs('25.04'!$H$7:$H$411,'25.04'!$J$7:$J$411,$D41,'25.04'!$K$7:$K$411,T$3)</f>
        <v>0</v>
      </c>
      <c r="U41" s="235">
        <f>sumifs('25.04'!$H$7:$H$411,'25.04'!$J$7:$J$411,$D41,'25.04'!$K$7:$K$411,U$3)</f>
        <v>0</v>
      </c>
      <c r="V41" s="235">
        <f>sumifs('25.04'!$H$7:$H$411,'25.04'!$J$7:$J$411,$D41,'25.04'!$K$7:$K$411,V$3)</f>
        <v>0</v>
      </c>
      <c r="W41" s="235">
        <f>sumifs('25.04'!$H$7:$H$411,'25.04'!$J$7:$J$411,$D41,'25.04'!$K$7:$K$411,W$3)</f>
        <v>0</v>
      </c>
      <c r="X41" s="235">
        <f>sumifs('25.04'!$H$7:$H$411,'25.04'!$J$7:$J$411,$D41,'25.04'!$K$7:$K$411,X$3)</f>
        <v>0</v>
      </c>
      <c r="Y41" s="235">
        <f>sumifs('25.04'!$H$7:$H$411,'25.04'!$J$7:$J$411,$D41,'25.04'!$K$7:$K$411,Y$3)</f>
        <v>0</v>
      </c>
      <c r="Z41" s="235">
        <f>sumifs('25.04'!$H$7:$H$411,'25.04'!$J$7:$J$411,$D41,'25.04'!$K$7:$K$411,Z$3)</f>
        <v>0</v>
      </c>
      <c r="AA41" s="235">
        <f>sumifs('25.04'!$H$7:$H$411,'25.04'!$J$7:$J$411,$D41,'25.04'!$K$7:$K$411,AA$3)</f>
        <v>0</v>
      </c>
      <c r="AB41" s="235">
        <f>sumifs('25.04'!$H$7:$H$411,'25.04'!$J$7:$J$411,$D41,'25.04'!$K$7:$K$411,AB$3)</f>
        <v>0</v>
      </c>
      <c r="AC41" s="225">
        <f t="shared" si="15"/>
        <v>0</v>
      </c>
    </row>
    <row r="42">
      <c r="B42" s="237"/>
      <c r="C42" s="244" t="s">
        <v>106</v>
      </c>
      <c r="D42" s="234" t="s">
        <v>107</v>
      </c>
      <c r="E42" s="235">
        <f>sumifs('25.04'!$H$7:$H$411,'25.04'!$G$7:$G$411,$D42,'25.04'!$F$7:$F$411,E$3)</f>
        <v>0</v>
      </c>
      <c r="F42" s="235">
        <f>sumifs('25.04'!$H$7:$H$411,'25.04'!$G$7:$G$411,$D42,'25.04'!$F$7:$F$411,F$3)</f>
        <v>0</v>
      </c>
      <c r="G42" s="235">
        <f>sumifs('25.04'!$H$7:$H$411,'25.04'!$G$7:$G$411,$D42,'25.04'!$F$7:$F$411,G$3)</f>
        <v>0</v>
      </c>
      <c r="H42" s="235">
        <f>sumifs('25.04'!$H$7:$H$411,'25.04'!$G$7:$G$411,$D42,'25.04'!$F$7:$F$411,H$3)</f>
        <v>0</v>
      </c>
      <c r="I42" s="235">
        <f>sumifs('25.04'!$H$7:$H$411,'25.04'!$G$7:$G$411,$D42,'25.04'!$F$7:$F$411,I$3)</f>
        <v>0</v>
      </c>
      <c r="J42" s="235">
        <f>sumifs('25.04'!$H$7:$H$411,'25.04'!$G$7:$G$411,$D42,'25.04'!$F$7:$F$411,J$3)</f>
        <v>0</v>
      </c>
      <c r="K42" s="235">
        <f>sumifs('25.04'!$H$7:$H$411,'25.04'!$G$7:$G$411,$D42,'25.04'!$F$7:$F$411,K$3)</f>
        <v>0</v>
      </c>
      <c r="L42" s="235">
        <f>sumifs('25.04'!$H$7:$H$411,'25.04'!$G$7:$G$411,$D42,'25.04'!$F$7:$F$411,L$3)</f>
        <v>0</v>
      </c>
      <c r="M42" s="235">
        <f>sumifs('25.04'!$H$7:$H$411,'25.04'!$G$7:$G$411,$D42,'25.04'!$F$7:$F$411,M$3)</f>
        <v>0</v>
      </c>
      <c r="N42" s="225">
        <f t="shared" si="12"/>
        <v>0</v>
      </c>
      <c r="O42" s="236"/>
      <c r="P42" s="236">
        <f t="shared" si="13"/>
        <v>0</v>
      </c>
      <c r="Q42" s="245" t="str">
        <f t="shared" si="16"/>
        <v>#DIV/0!</v>
      </c>
      <c r="T42" s="235">
        <f>sumifs('25.04'!$H$7:$H$411,'25.04'!$J$7:$J$411,$D42,'25.04'!$K$7:$K$411,T$3)</f>
        <v>0</v>
      </c>
      <c r="U42" s="235">
        <f>sumifs('25.04'!$H$7:$H$411,'25.04'!$J$7:$J$411,$D42,'25.04'!$K$7:$K$411,U$3)</f>
        <v>0</v>
      </c>
      <c r="V42" s="235">
        <f>sumifs('25.04'!$H$7:$H$411,'25.04'!$J$7:$J$411,$D42,'25.04'!$K$7:$K$411,V$3)</f>
        <v>0</v>
      </c>
      <c r="W42" s="235">
        <f>sumifs('25.04'!$H$7:$H$411,'25.04'!$J$7:$J$411,$D42,'25.04'!$K$7:$K$411,W$3)</f>
        <v>0</v>
      </c>
      <c r="X42" s="235">
        <f>sumifs('25.04'!$H$7:$H$411,'25.04'!$J$7:$J$411,$D42,'25.04'!$K$7:$K$411,X$3)</f>
        <v>0</v>
      </c>
      <c r="Y42" s="235">
        <f>sumifs('25.04'!$H$7:$H$411,'25.04'!$J$7:$J$411,$D42,'25.04'!$K$7:$K$411,Y$3)</f>
        <v>0</v>
      </c>
      <c r="Z42" s="235">
        <f>sumifs('25.04'!$H$7:$H$411,'25.04'!$J$7:$J$411,$D42,'25.04'!$K$7:$K$411,Z$3)</f>
        <v>0</v>
      </c>
      <c r="AA42" s="235">
        <f>sumifs('25.04'!$H$7:$H$411,'25.04'!$J$7:$J$411,$D42,'25.04'!$K$7:$K$411,AA$3)</f>
        <v>0</v>
      </c>
      <c r="AB42" s="235">
        <f>sumifs('25.04'!$H$7:$H$411,'25.04'!$J$7:$J$411,$D42,'25.04'!$K$7:$K$411,AB$3)</f>
        <v>0</v>
      </c>
      <c r="AC42" s="225">
        <f t="shared" si="15"/>
        <v>0</v>
      </c>
    </row>
    <row r="43">
      <c r="B43" s="237"/>
      <c r="C43" s="246" t="s">
        <v>108</v>
      </c>
      <c r="D43" s="247" t="s">
        <v>109</v>
      </c>
      <c r="E43" s="248">
        <f>sumifs('25.04'!$H$7:$H$411,'25.04'!$G$7:$G$411,$D43,'25.04'!$F$7:$F$411,E$3)</f>
        <v>0</v>
      </c>
      <c r="F43" s="248">
        <f>sumifs('25.04'!$H$7:$H$411,'25.04'!$G$7:$G$411,$D43,'25.04'!$F$7:$F$411,F$3)</f>
        <v>0</v>
      </c>
      <c r="G43" s="248">
        <f>sumifs('25.04'!$H$7:$H$411,'25.04'!$G$7:$G$411,$D43,'25.04'!$F$7:$F$411,G$3)</f>
        <v>0</v>
      </c>
      <c r="H43" s="248">
        <f>sumifs('25.04'!$H$7:$H$411,'25.04'!$G$7:$G$411,$D43,'25.04'!$F$7:$F$411,H$3)</f>
        <v>0</v>
      </c>
      <c r="I43" s="248">
        <f>sumifs('25.04'!$H$7:$H$411,'25.04'!$G$7:$G$411,$D43,'25.04'!$F$7:$F$411,I$3)</f>
        <v>0</v>
      </c>
      <c r="J43" s="248">
        <f>sumifs('25.04'!$H$7:$H$411,'25.04'!$G$7:$G$411,$D43,'25.04'!$F$7:$F$411,J$3)</f>
        <v>0</v>
      </c>
      <c r="K43" s="248">
        <f>sumifs('25.04'!$H$7:$H$411,'25.04'!$G$7:$G$411,$D43,'25.04'!$F$7:$F$411,K$3)</f>
        <v>0</v>
      </c>
      <c r="L43" s="248">
        <f>sumifs('25.04'!$H$7:$H$411,'25.04'!$G$7:$G$411,$D43,'25.04'!$F$7:$F$411,L$3)</f>
        <v>0</v>
      </c>
      <c r="M43" s="248">
        <f>sumifs('25.04'!$H$7:$H$411,'25.04'!$G$7:$G$411,$D43,'25.04'!$F$7:$F$411,M$3)</f>
        <v>0</v>
      </c>
      <c r="N43" s="249">
        <f t="shared" si="12"/>
        <v>0</v>
      </c>
      <c r="O43" s="250"/>
      <c r="P43" s="250">
        <f t="shared" si="13"/>
        <v>0</v>
      </c>
      <c r="Q43" s="251" t="str">
        <f t="shared" si="16"/>
        <v>#DIV/0!</v>
      </c>
      <c r="T43" s="248">
        <f>sumifs('25.04'!$H$7:$H$411,'25.04'!$J$7:$J$411,$D43,'25.04'!$K$7:$K$411,T$3)</f>
        <v>0</v>
      </c>
      <c r="U43" s="248">
        <f>sumifs('25.04'!$H$7:$H$411,'25.04'!$J$7:$J$411,$D43,'25.04'!$K$7:$K$411,U$3)</f>
        <v>0</v>
      </c>
      <c r="V43" s="248">
        <f>sumifs('25.04'!$H$7:$H$411,'25.04'!$J$7:$J$411,$D43,'25.04'!$K$7:$K$411,V$3)</f>
        <v>0</v>
      </c>
      <c r="W43" s="248">
        <f>sumifs('25.04'!$H$7:$H$411,'25.04'!$J$7:$J$411,$D43,'25.04'!$K$7:$K$411,W$3)</f>
        <v>0</v>
      </c>
      <c r="X43" s="248">
        <f>sumifs('25.04'!$H$7:$H$411,'25.04'!$J$7:$J$411,$D43,'25.04'!$K$7:$K$411,X$3)</f>
        <v>0</v>
      </c>
      <c r="Y43" s="248">
        <f>sumifs('25.04'!$H$7:$H$411,'25.04'!$J$7:$J$411,$D43,'25.04'!$K$7:$K$411,Y$3)</f>
        <v>0</v>
      </c>
      <c r="Z43" s="248">
        <f>sumifs('25.04'!$H$7:$H$411,'25.04'!$J$7:$J$411,$D43,'25.04'!$K$7:$K$411,Z$3)</f>
        <v>0</v>
      </c>
      <c r="AA43" s="248">
        <f>sumifs('25.04'!$H$7:$H$411,'25.04'!$J$7:$J$411,$D43,'25.04'!$K$7:$K$411,AA$3)</f>
        <v>0</v>
      </c>
      <c r="AB43" s="248">
        <f>sumifs('25.04'!$H$7:$H$411,'25.04'!$J$7:$J$411,$D43,'25.04'!$K$7:$K$411,AB$3)</f>
        <v>0</v>
      </c>
      <c r="AC43" s="249">
        <f t="shared" si="15"/>
        <v>0</v>
      </c>
    </row>
    <row r="44">
      <c r="B44" s="237"/>
      <c r="C44" s="244" t="s">
        <v>110</v>
      </c>
      <c r="D44" s="234" t="s">
        <v>111</v>
      </c>
      <c r="E44" s="235">
        <f>sumifs('25.04'!$H$7:$H$411,'25.04'!$G$7:$G$411,$D44,'25.04'!$F$7:$F$411,E$3)</f>
        <v>0</v>
      </c>
      <c r="F44" s="235">
        <f>sumifs('25.04'!$H$7:$H$411,'25.04'!$G$7:$G$411,$D44,'25.04'!$F$7:$F$411,F$3)</f>
        <v>0</v>
      </c>
      <c r="G44" s="235">
        <f>sumifs('25.04'!$H$7:$H$411,'25.04'!$G$7:$G$411,$D44,'25.04'!$F$7:$F$411,G$3)</f>
        <v>0</v>
      </c>
      <c r="H44" s="235">
        <f>sumifs('25.04'!$H$7:$H$411,'25.04'!$G$7:$G$411,$D44,'25.04'!$F$7:$F$411,H$3)</f>
        <v>0</v>
      </c>
      <c r="I44" s="235">
        <f>sumifs('25.04'!$H$7:$H$411,'25.04'!$G$7:$G$411,$D44,'25.04'!$F$7:$F$411,I$3)</f>
        <v>0</v>
      </c>
      <c r="J44" s="235">
        <f>sumifs('25.04'!$H$7:$H$411,'25.04'!$G$7:$G$411,$D44,'25.04'!$F$7:$F$411,J$3)</f>
        <v>0</v>
      </c>
      <c r="K44" s="235">
        <f>sumifs('25.04'!$H$7:$H$411,'25.04'!$G$7:$G$411,$D44,'25.04'!$F$7:$F$411,K$3)</f>
        <v>0</v>
      </c>
      <c r="L44" s="235">
        <f>sumifs('25.04'!$H$7:$H$411,'25.04'!$G$7:$G$411,$D44,'25.04'!$F$7:$F$411,L$3)</f>
        <v>0</v>
      </c>
      <c r="M44" s="235">
        <f>sumifs('25.04'!$H$7:$H$411,'25.04'!$G$7:$G$411,$D44,'25.04'!$F$7:$F$411,M$3)</f>
        <v>0</v>
      </c>
      <c r="N44" s="225">
        <f t="shared" si="12"/>
        <v>0</v>
      </c>
      <c r="O44" s="236"/>
      <c r="P44" s="236">
        <f t="shared" si="13"/>
        <v>0</v>
      </c>
      <c r="Q44" s="245" t="str">
        <f t="shared" ref="Q44:Q46" si="17">N44/sum(N$44:N$46)</f>
        <v>#DIV/0!</v>
      </c>
      <c r="T44" s="235">
        <f>sumifs('25.04'!$H$7:$H$411,'25.04'!$J$7:$J$411,$D44,'25.04'!$K$7:$K$411,T$3)</f>
        <v>0</v>
      </c>
      <c r="U44" s="235">
        <f>sumifs('25.04'!$H$7:$H$411,'25.04'!$J$7:$J$411,$D44,'25.04'!$K$7:$K$411,U$3)</f>
        <v>0</v>
      </c>
      <c r="V44" s="235">
        <f>sumifs('25.04'!$H$7:$H$411,'25.04'!$J$7:$J$411,$D44,'25.04'!$K$7:$K$411,V$3)</f>
        <v>0</v>
      </c>
      <c r="W44" s="235">
        <f>sumifs('25.04'!$H$7:$H$411,'25.04'!$J$7:$J$411,$D44,'25.04'!$K$7:$K$411,W$3)</f>
        <v>0</v>
      </c>
      <c r="X44" s="235">
        <f>sumifs('25.04'!$H$7:$H$411,'25.04'!$J$7:$J$411,$D44,'25.04'!$K$7:$K$411,X$3)</f>
        <v>0</v>
      </c>
      <c r="Y44" s="235">
        <f>sumifs('25.04'!$H$7:$H$411,'25.04'!$J$7:$J$411,$D44,'25.04'!$K$7:$K$411,Y$3)</f>
        <v>0</v>
      </c>
      <c r="Z44" s="235">
        <f>sumifs('25.04'!$H$7:$H$411,'25.04'!$J$7:$J$411,$D44,'25.04'!$K$7:$K$411,Z$3)</f>
        <v>0</v>
      </c>
      <c r="AA44" s="235">
        <f>sumifs('25.04'!$H$7:$H$411,'25.04'!$J$7:$J$411,$D44,'25.04'!$K$7:$K$411,AA$3)</f>
        <v>0</v>
      </c>
      <c r="AB44" s="235">
        <f>sumifs('25.04'!$H$7:$H$411,'25.04'!$J$7:$J$411,$D44,'25.04'!$K$7:$K$411,AB$3)</f>
        <v>0</v>
      </c>
      <c r="AC44" s="225">
        <f t="shared" si="15"/>
        <v>0</v>
      </c>
    </row>
    <row r="45">
      <c r="B45" s="237"/>
      <c r="C45" s="244" t="s">
        <v>112</v>
      </c>
      <c r="D45" s="234" t="s">
        <v>113</v>
      </c>
      <c r="E45" s="235">
        <f>sumifs('25.04'!$H$7:$H$411,'25.04'!$G$7:$G$411,$D45,'25.04'!$F$7:$F$411,E$3)</f>
        <v>0</v>
      </c>
      <c r="F45" s="235">
        <f>sumifs('25.04'!$H$7:$H$411,'25.04'!$G$7:$G$411,$D45,'25.04'!$F$7:$F$411,F$3)</f>
        <v>0</v>
      </c>
      <c r="G45" s="235">
        <f>sumifs('25.04'!$H$7:$H$411,'25.04'!$G$7:$G$411,$D45,'25.04'!$F$7:$F$411,G$3)</f>
        <v>0</v>
      </c>
      <c r="H45" s="235">
        <f>sumifs('25.04'!$H$7:$H$411,'25.04'!$G$7:$G$411,$D45,'25.04'!$F$7:$F$411,H$3)</f>
        <v>0</v>
      </c>
      <c r="I45" s="235">
        <f>sumifs('25.04'!$H$7:$H$411,'25.04'!$G$7:$G$411,$D45,'25.04'!$F$7:$F$411,I$3)</f>
        <v>0</v>
      </c>
      <c r="J45" s="235">
        <f>sumifs('25.04'!$H$7:$H$411,'25.04'!$G$7:$G$411,$D45,'25.04'!$F$7:$F$411,J$3)</f>
        <v>0</v>
      </c>
      <c r="K45" s="235">
        <f>sumifs('25.04'!$H$7:$H$411,'25.04'!$G$7:$G$411,$D45,'25.04'!$F$7:$F$411,K$3)</f>
        <v>0</v>
      </c>
      <c r="L45" s="235">
        <f>sumifs('25.04'!$H$7:$H$411,'25.04'!$G$7:$G$411,$D45,'25.04'!$F$7:$F$411,L$3)</f>
        <v>0</v>
      </c>
      <c r="M45" s="235">
        <f>sumifs('25.04'!$H$7:$H$411,'25.04'!$G$7:$G$411,$D45,'25.04'!$F$7:$F$411,M$3)</f>
        <v>0</v>
      </c>
      <c r="N45" s="225">
        <f t="shared" si="12"/>
        <v>0</v>
      </c>
      <c r="O45" s="236"/>
      <c r="P45" s="236">
        <f t="shared" si="13"/>
        <v>0</v>
      </c>
      <c r="Q45" s="245" t="str">
        <f t="shared" si="17"/>
        <v>#DIV/0!</v>
      </c>
      <c r="T45" s="235">
        <f>sumifs('25.04'!$H$7:$H$411,'25.04'!$J$7:$J$411,$D45,'25.04'!$K$7:$K$411,T$3)</f>
        <v>0</v>
      </c>
      <c r="U45" s="235">
        <f>sumifs('25.04'!$H$7:$H$411,'25.04'!$J$7:$J$411,$D45,'25.04'!$K$7:$K$411,U$3)</f>
        <v>0</v>
      </c>
      <c r="V45" s="235">
        <f>sumifs('25.04'!$H$7:$H$411,'25.04'!$J$7:$J$411,$D45,'25.04'!$K$7:$K$411,V$3)</f>
        <v>0</v>
      </c>
      <c r="W45" s="235">
        <f>sumifs('25.04'!$H$7:$H$411,'25.04'!$J$7:$J$411,$D45,'25.04'!$K$7:$K$411,W$3)</f>
        <v>0</v>
      </c>
      <c r="X45" s="235">
        <f>sumifs('25.04'!$H$7:$H$411,'25.04'!$J$7:$J$411,$D45,'25.04'!$K$7:$K$411,X$3)</f>
        <v>0</v>
      </c>
      <c r="Y45" s="235">
        <f>sumifs('25.04'!$H$7:$H$411,'25.04'!$J$7:$J$411,$D45,'25.04'!$K$7:$K$411,Y$3)</f>
        <v>0</v>
      </c>
      <c r="Z45" s="235">
        <f>sumifs('25.04'!$H$7:$H$411,'25.04'!$J$7:$J$411,$D45,'25.04'!$K$7:$K$411,Z$3)</f>
        <v>0</v>
      </c>
      <c r="AA45" s="235">
        <f>sumifs('25.04'!$H$7:$H$411,'25.04'!$J$7:$J$411,$D45,'25.04'!$K$7:$K$411,AA$3)</f>
        <v>0</v>
      </c>
      <c r="AB45" s="235">
        <f>sumifs('25.04'!$H$7:$H$411,'25.04'!$J$7:$J$411,$D45,'25.04'!$K$7:$K$411,AB$3)</f>
        <v>0</v>
      </c>
      <c r="AC45" s="225">
        <f t="shared" si="15"/>
        <v>0</v>
      </c>
    </row>
    <row r="46">
      <c r="B46" s="237"/>
      <c r="C46" s="246" t="s">
        <v>114</v>
      </c>
      <c r="D46" s="247" t="s">
        <v>115</v>
      </c>
      <c r="E46" s="248">
        <f>sumifs('25.04'!$H$7:$H$411,'25.04'!$G$7:$G$411,$D46,'25.04'!$F$7:$F$411,E$3)</f>
        <v>0</v>
      </c>
      <c r="F46" s="248">
        <f>sumifs('25.04'!$H$7:$H$411,'25.04'!$G$7:$G$411,$D46,'25.04'!$F$7:$F$411,F$3)</f>
        <v>0</v>
      </c>
      <c r="G46" s="248">
        <f>sumifs('25.04'!$H$7:$H$411,'25.04'!$G$7:$G$411,$D46,'25.04'!$F$7:$F$411,G$3)</f>
        <v>0</v>
      </c>
      <c r="H46" s="248">
        <f>sumifs('25.04'!$H$7:$H$411,'25.04'!$G$7:$G$411,$D46,'25.04'!$F$7:$F$411,H$3)</f>
        <v>0</v>
      </c>
      <c r="I46" s="248">
        <f>sumifs('25.04'!$H$7:$H$411,'25.04'!$G$7:$G$411,$D46,'25.04'!$F$7:$F$411,I$3)</f>
        <v>0</v>
      </c>
      <c r="J46" s="248">
        <f>sumifs('25.04'!$H$7:$H$411,'25.04'!$G$7:$G$411,$D46,'25.04'!$F$7:$F$411,J$3)</f>
        <v>0</v>
      </c>
      <c r="K46" s="248">
        <f>sumifs('25.04'!$H$7:$H$411,'25.04'!$G$7:$G$411,$D46,'25.04'!$F$7:$F$411,K$3)</f>
        <v>0</v>
      </c>
      <c r="L46" s="248">
        <f>sumifs('25.04'!$H$7:$H$411,'25.04'!$G$7:$G$411,$D46,'25.04'!$F$7:$F$411,L$3)</f>
        <v>0</v>
      </c>
      <c r="M46" s="248">
        <f>sumifs('25.04'!$H$7:$H$411,'25.04'!$G$7:$G$411,$D46,'25.04'!$F$7:$F$411,M$3)</f>
        <v>0</v>
      </c>
      <c r="N46" s="249">
        <f t="shared" si="12"/>
        <v>0</v>
      </c>
      <c r="O46" s="250"/>
      <c r="P46" s="250">
        <f t="shared" si="13"/>
        <v>0</v>
      </c>
      <c r="Q46" s="251" t="str">
        <f t="shared" si="17"/>
        <v>#DIV/0!</v>
      </c>
      <c r="T46" s="248">
        <f>sumifs('25.04'!$H$7:$H$411,'25.04'!$J$7:$J$411,$D46,'25.04'!$K$7:$K$411,T$3)</f>
        <v>0</v>
      </c>
      <c r="U46" s="248">
        <f>sumifs('25.04'!$H$7:$H$411,'25.04'!$J$7:$J$411,$D46,'25.04'!$K$7:$K$411,U$3)</f>
        <v>0</v>
      </c>
      <c r="V46" s="248">
        <f>sumifs('25.04'!$H$7:$H$411,'25.04'!$J$7:$J$411,$D46,'25.04'!$K$7:$K$411,V$3)</f>
        <v>0</v>
      </c>
      <c r="W46" s="248">
        <f>sumifs('25.04'!$H$7:$H$411,'25.04'!$J$7:$J$411,$D46,'25.04'!$K$7:$K$411,W$3)</f>
        <v>0</v>
      </c>
      <c r="X46" s="248">
        <f>sumifs('25.04'!$H$7:$H$411,'25.04'!$J$7:$J$411,$D46,'25.04'!$K$7:$K$411,X$3)</f>
        <v>0</v>
      </c>
      <c r="Y46" s="248">
        <f>sumifs('25.04'!$H$7:$H$411,'25.04'!$J$7:$J$411,$D46,'25.04'!$K$7:$K$411,Y$3)</f>
        <v>0</v>
      </c>
      <c r="Z46" s="248">
        <f>sumifs('25.04'!$H$7:$H$411,'25.04'!$J$7:$J$411,$D46,'25.04'!$K$7:$K$411,Z$3)</f>
        <v>0</v>
      </c>
      <c r="AA46" s="248">
        <f>sumifs('25.04'!$H$7:$H$411,'25.04'!$J$7:$J$411,$D46,'25.04'!$K$7:$K$411,AA$3)</f>
        <v>0</v>
      </c>
      <c r="AB46" s="248">
        <f>sumifs('25.04'!$H$7:$H$411,'25.04'!$J$7:$J$411,$D46,'25.04'!$K$7:$K$411,AB$3)</f>
        <v>0</v>
      </c>
      <c r="AC46" s="249">
        <f t="shared" si="15"/>
        <v>0</v>
      </c>
    </row>
    <row r="47">
      <c r="B47" s="238"/>
      <c r="C47" s="244" t="s">
        <v>116</v>
      </c>
      <c r="D47" s="234" t="s">
        <v>117</v>
      </c>
      <c r="E47" s="235">
        <f>sumifs('25.04'!$H$7:$H$411,'25.04'!$G$7:$G$411,$D47,'25.04'!$F$7:$F$411,E$3)</f>
        <v>0</v>
      </c>
      <c r="F47" s="235">
        <f>sumifs('25.04'!$H$7:$H$411,'25.04'!$G$7:$G$411,$D47,'25.04'!$F$7:$F$411,F$3)</f>
        <v>0</v>
      </c>
      <c r="G47" s="235">
        <f>sumifs('25.04'!$H$7:$H$411,'25.04'!$G$7:$G$411,$D47,'25.04'!$F$7:$F$411,G$3)</f>
        <v>0</v>
      </c>
      <c r="H47" s="235">
        <f>sumifs('25.04'!$H$7:$H$411,'25.04'!$G$7:$G$411,$D47,'25.04'!$F$7:$F$411,H$3)</f>
        <v>0</v>
      </c>
      <c r="I47" s="235">
        <f>sumifs('25.04'!$H$7:$H$411,'25.04'!$G$7:$G$411,$D47,'25.04'!$F$7:$F$411,I$3)</f>
        <v>0</v>
      </c>
      <c r="J47" s="235">
        <f>sumifs('25.04'!$H$7:$H$411,'25.04'!$G$7:$G$411,$D47,'25.04'!$F$7:$F$411,J$3)</f>
        <v>0</v>
      </c>
      <c r="K47" s="235">
        <f>sumifs('25.04'!$H$7:$H$411,'25.04'!$G$7:$G$411,$D47,'25.04'!$F$7:$F$411,K$3)</f>
        <v>0</v>
      </c>
      <c r="L47" s="235">
        <f>sumifs('25.04'!$H$7:$H$411,'25.04'!$G$7:$G$411,$D47,'25.04'!$F$7:$F$411,L$3)</f>
        <v>0</v>
      </c>
      <c r="M47" s="235">
        <f>sumifs('25.04'!$H$7:$H$411,'25.04'!$G$7:$G$411,$D47,'25.04'!$F$7:$F$411,M$3)</f>
        <v>0</v>
      </c>
      <c r="N47" s="225">
        <f t="shared" si="12"/>
        <v>0</v>
      </c>
      <c r="O47" s="236"/>
      <c r="P47" s="236">
        <f t="shared" si="13"/>
        <v>0</v>
      </c>
      <c r="Q47" s="236"/>
      <c r="R47" s="252"/>
      <c r="T47" s="235">
        <f>sumifs('25.04'!$H$7:$H$411,'25.04'!$J$7:$J$411,$D47,'25.04'!$K$7:$K$411,T$3)</f>
        <v>0</v>
      </c>
      <c r="U47" s="235">
        <f>sumifs('25.04'!$H$7:$H$411,'25.04'!$J$7:$J$411,$D47,'25.04'!$K$7:$K$411,U$3)</f>
        <v>0</v>
      </c>
      <c r="V47" s="235">
        <f>sumifs('25.04'!$H$7:$H$411,'25.04'!$J$7:$J$411,$D47,'25.04'!$K$7:$K$411,V$3)</f>
        <v>0</v>
      </c>
      <c r="W47" s="235">
        <f>sumifs('25.04'!$H$7:$H$411,'25.04'!$J$7:$J$411,$D47,'25.04'!$K$7:$K$411,W$3)</f>
        <v>0</v>
      </c>
      <c r="X47" s="235">
        <f>sumifs('25.04'!$H$7:$H$411,'25.04'!$J$7:$J$411,$D47,'25.04'!$K$7:$K$411,X$3)</f>
        <v>0</v>
      </c>
      <c r="Y47" s="235">
        <f>sumifs('25.04'!$H$7:$H$411,'25.04'!$J$7:$J$411,$D47,'25.04'!$K$7:$K$411,Y$3)</f>
        <v>0</v>
      </c>
      <c r="Z47" s="235">
        <f>sumifs('25.04'!$H$7:$H$411,'25.04'!$J$7:$J$411,$D47,'25.04'!$K$7:$K$411,Z$3)</f>
        <v>0</v>
      </c>
      <c r="AA47" s="235">
        <f>sumifs('25.04'!$H$7:$H$411,'25.04'!$J$7:$J$411,$D47,'25.04'!$K$7:$K$411,AA$3)</f>
        <v>0</v>
      </c>
      <c r="AB47" s="235">
        <f>sumifs('25.04'!$H$7:$H$411,'25.04'!$J$7:$J$411,$D47,'25.04'!$K$7:$K$411,AB$3)</f>
        <v>0</v>
      </c>
      <c r="AC47" s="225">
        <f t="shared" si="15"/>
        <v>0</v>
      </c>
    </row>
    <row r="48">
      <c r="A48" s="242">
        <v>6.0</v>
      </c>
      <c r="B48" s="232" t="s">
        <v>118</v>
      </c>
      <c r="C48" s="233">
        <v>44932.0</v>
      </c>
      <c r="D48" s="234" t="s">
        <v>118</v>
      </c>
      <c r="E48" s="235">
        <f>sumifs('25.04'!$H$7:$H$411,'25.04'!$G$7:$G$411,$D48,'25.04'!$F$7:$F$411,E$3)</f>
        <v>0</v>
      </c>
      <c r="F48" s="235">
        <f>sumifs('25.04'!$H$7:$H$411,'25.04'!$G$7:$G$411,$D48,'25.04'!$F$7:$F$411,F$3)</f>
        <v>0</v>
      </c>
      <c r="G48" s="235">
        <f>sumifs('25.04'!$H$7:$H$411,'25.04'!$G$7:$G$411,$D48,'25.04'!$F$7:$F$411,G$3)</f>
        <v>0</v>
      </c>
      <c r="H48" s="235">
        <f>sumifs('25.04'!$H$7:$H$411,'25.04'!$G$7:$G$411,$D48,'25.04'!$F$7:$F$411,H$3)</f>
        <v>0</v>
      </c>
      <c r="I48" s="235">
        <f>sumifs('25.04'!$H$7:$H$411,'25.04'!$G$7:$G$411,$D48,'25.04'!$F$7:$F$411,I$3)</f>
        <v>0</v>
      </c>
      <c r="J48" s="235">
        <f>sumifs('25.04'!$H$7:$H$411,'25.04'!$G$7:$G$411,$D48,'25.04'!$F$7:$F$411,J$3)</f>
        <v>0</v>
      </c>
      <c r="K48" s="235">
        <f>sumifs('25.04'!$H$7:$H$411,'25.04'!$G$7:$G$411,$D48,'25.04'!$F$7:$F$411,K$3)</f>
        <v>0</v>
      </c>
      <c r="L48" s="235">
        <f>sumifs('25.04'!$H$7:$H$411,'25.04'!$G$7:$G$411,$D48,'25.04'!$F$7:$F$411,L$3)</f>
        <v>0</v>
      </c>
      <c r="M48" s="235">
        <f>sumifs('25.04'!$H$7:$H$411,'25.04'!$G$7:$G$411,$D48,'25.04'!$F$7:$F$411,M$3)</f>
        <v>0</v>
      </c>
      <c r="N48" s="225">
        <f t="shared" si="12"/>
        <v>0</v>
      </c>
      <c r="O48" s="236"/>
      <c r="P48" s="236" t="str">
        <f t="shared" ref="P48:P49" si="18">N48/sum(N$48:N$49)</f>
        <v>#DIV/0!</v>
      </c>
      <c r="Q48" s="236"/>
      <c r="R48" s="253"/>
      <c r="S48" s="230"/>
      <c r="T48" s="235">
        <f>sumifs('25.04'!$H$7:$H$411,'25.04'!$J$7:$J$411,$D48,'25.04'!$K$7:$K$411,T$3)</f>
        <v>0</v>
      </c>
      <c r="U48" s="235">
        <f>sumifs('25.04'!$H$7:$H$411,'25.04'!$J$7:$J$411,$D48,'25.04'!$K$7:$K$411,U$3)</f>
        <v>0</v>
      </c>
      <c r="V48" s="235">
        <f>sumifs('25.04'!$H$7:$H$411,'25.04'!$J$7:$J$411,$D48,'25.04'!$K$7:$K$411,V$3)</f>
        <v>0</v>
      </c>
      <c r="W48" s="235">
        <f>sumifs('25.04'!$H$7:$H$411,'25.04'!$J$7:$J$411,$D48,'25.04'!$K$7:$K$411,W$3)</f>
        <v>0</v>
      </c>
      <c r="X48" s="235">
        <f>sumifs('25.04'!$H$7:$H$411,'25.04'!$J$7:$J$411,$D48,'25.04'!$K$7:$K$411,X$3)</f>
        <v>0</v>
      </c>
      <c r="Y48" s="235">
        <f>sumifs('25.04'!$H$7:$H$411,'25.04'!$J$7:$J$411,$D48,'25.04'!$K$7:$K$411,Y$3)</f>
        <v>0</v>
      </c>
      <c r="Z48" s="235">
        <f>sumifs('25.04'!$H$7:$H$411,'25.04'!$J$7:$J$411,$D48,'25.04'!$K$7:$K$411,Z$3)</f>
        <v>0</v>
      </c>
      <c r="AA48" s="235">
        <f>sumifs('25.04'!$H$7:$H$411,'25.04'!$J$7:$J$411,$D48,'25.04'!$K$7:$K$411,AA$3)</f>
        <v>0</v>
      </c>
      <c r="AB48" s="235">
        <f>sumifs('25.04'!$H$7:$H$411,'25.04'!$J$7:$J$411,$D48,'25.04'!$K$7:$K$411,AB$3)</f>
        <v>0</v>
      </c>
      <c r="AC48" s="225">
        <f t="shared" si="15"/>
        <v>0</v>
      </c>
    </row>
    <row r="49">
      <c r="B49" s="238"/>
      <c r="C49" s="254">
        <v>44963.0</v>
      </c>
      <c r="D49" s="255" t="s">
        <v>119</v>
      </c>
      <c r="E49" s="256">
        <f>sumifs('25.04'!$H$7:$H$411,'25.04'!$G$7:$G$411,$D49,'25.04'!$F$7:$F$411,E$3)</f>
        <v>0</v>
      </c>
      <c r="F49" s="256">
        <f>sumifs('25.04'!$H$7:$H$411,'25.04'!$G$7:$G$411,$D49,'25.04'!$F$7:$F$411,F$3)</f>
        <v>0</v>
      </c>
      <c r="G49" s="256">
        <f>sumifs('25.04'!$H$7:$H$411,'25.04'!$G$7:$G$411,$D49,'25.04'!$F$7:$F$411,G$3)</f>
        <v>0</v>
      </c>
      <c r="H49" s="256">
        <f>sumifs('25.04'!$H$7:$H$411,'25.04'!$G$7:$G$411,$D49,'25.04'!$F$7:$F$411,H$3)</f>
        <v>0</v>
      </c>
      <c r="I49" s="256">
        <f>sumifs('25.04'!$H$7:$H$411,'25.04'!$G$7:$G$411,$D49,'25.04'!$F$7:$F$411,I$3)</f>
        <v>0</v>
      </c>
      <c r="J49" s="256">
        <f>sumifs('25.04'!$H$7:$H$411,'25.04'!$G$7:$G$411,$D49,'25.04'!$F$7:$F$411,J$3)</f>
        <v>0</v>
      </c>
      <c r="K49" s="256">
        <f>sumifs('25.04'!$H$7:$H$411,'25.04'!$G$7:$G$411,$D49,'25.04'!$F$7:$F$411,K$3)</f>
        <v>0</v>
      </c>
      <c r="L49" s="256">
        <f>sumifs('25.04'!$H$7:$H$411,'25.04'!$G$7:$G$411,$D49,'25.04'!$F$7:$F$411,L$3)</f>
        <v>0</v>
      </c>
      <c r="M49" s="256">
        <f>sumifs('25.04'!$H$7:$H$411,'25.04'!$G$7:$G$411,$D49,'25.04'!$F$7:$F$411,M$3)</f>
        <v>0</v>
      </c>
      <c r="N49" s="257">
        <f t="shared" si="12"/>
        <v>0</v>
      </c>
      <c r="O49" s="258"/>
      <c r="P49" s="258" t="str">
        <f t="shared" si="18"/>
        <v>#DIV/0!</v>
      </c>
      <c r="Q49" s="258"/>
      <c r="R49" s="252"/>
      <c r="T49" s="256">
        <f>sumifs('25.04'!$H$7:$H$411,'25.04'!$J$7:$J$411,$D49,'25.04'!$K$7:$K$411,T$3)</f>
        <v>0</v>
      </c>
      <c r="U49" s="256">
        <f>sumifs('25.04'!$H$7:$H$411,'25.04'!$J$7:$J$411,$D49,'25.04'!$K$7:$K$411,U$3)</f>
        <v>0</v>
      </c>
      <c r="V49" s="256">
        <f>sumifs('25.04'!$H$7:$H$411,'25.04'!$J$7:$J$411,$D49,'25.04'!$K$7:$K$411,V$3)</f>
        <v>0</v>
      </c>
      <c r="W49" s="256">
        <f>sumifs('25.04'!$H$7:$H$411,'25.04'!$J$7:$J$411,$D49,'25.04'!$K$7:$K$411,W$3)</f>
        <v>0</v>
      </c>
      <c r="X49" s="256">
        <f>sumifs('25.04'!$H$7:$H$411,'25.04'!$J$7:$J$411,$D49,'25.04'!$K$7:$K$411,X$3)</f>
        <v>0</v>
      </c>
      <c r="Y49" s="256">
        <f>sumifs('25.04'!$H$7:$H$411,'25.04'!$J$7:$J$411,$D49,'25.04'!$K$7:$K$411,Y$3)</f>
        <v>0</v>
      </c>
      <c r="Z49" s="256">
        <f>sumifs('25.04'!$H$7:$H$411,'25.04'!$J$7:$J$411,$D49,'25.04'!$K$7:$K$411,Z$3)</f>
        <v>0</v>
      </c>
      <c r="AA49" s="256">
        <f>sumifs('25.04'!$H$7:$H$411,'25.04'!$J$7:$J$411,$D49,'25.04'!$K$7:$K$411,AA$3)</f>
        <v>0</v>
      </c>
      <c r="AB49" s="256">
        <f>sumifs('25.04'!$H$7:$H$411,'25.04'!$J$7:$J$411,$D49,'25.04'!$K$7:$K$411,AB$3)</f>
        <v>0</v>
      </c>
      <c r="AC49" s="257">
        <f t="shared" si="15"/>
        <v>0</v>
      </c>
    </row>
    <row r="50">
      <c r="A50" s="242">
        <v>7.0</v>
      </c>
      <c r="B50" s="232" t="s">
        <v>120</v>
      </c>
      <c r="C50" s="233">
        <v>44933.0</v>
      </c>
      <c r="D50" s="234" t="s">
        <v>121</v>
      </c>
      <c r="E50" s="235">
        <f>sumifs('25.04'!$H$7:$H$411,'25.04'!$G$7:$G$411,$D50,'25.04'!$F$7:$F$411,E$3)</f>
        <v>0</v>
      </c>
      <c r="F50" s="235">
        <f>sumifs('25.04'!$H$7:$H$411,'25.04'!$G$7:$G$411,$D50,'25.04'!$F$7:$F$411,F$3)</f>
        <v>0</v>
      </c>
      <c r="G50" s="235">
        <f>sumifs('25.04'!$H$7:$H$411,'25.04'!$G$7:$G$411,$D50,'25.04'!$F$7:$F$411,G$3)</f>
        <v>0</v>
      </c>
      <c r="H50" s="235">
        <f>sumifs('25.04'!$H$7:$H$411,'25.04'!$G$7:$G$411,$D50,'25.04'!$F$7:$F$411,H$3)</f>
        <v>0</v>
      </c>
      <c r="I50" s="235">
        <f>sumifs('25.04'!$H$7:$H$411,'25.04'!$G$7:$G$411,$D50,'25.04'!$F$7:$F$411,I$3)</f>
        <v>0</v>
      </c>
      <c r="J50" s="235">
        <f>sumifs('25.04'!$H$7:$H$411,'25.04'!$G$7:$G$411,$D50,'25.04'!$F$7:$F$411,J$3)</f>
        <v>0</v>
      </c>
      <c r="K50" s="235">
        <f>sumifs('25.04'!$H$7:$H$411,'25.04'!$G$7:$G$411,$D50,'25.04'!$F$7:$F$411,K$3)</f>
        <v>0</v>
      </c>
      <c r="L50" s="235">
        <f>sumifs('25.04'!$H$7:$H$411,'25.04'!$G$7:$G$411,$D50,'25.04'!$F$7:$F$411,L$3)</f>
        <v>0</v>
      </c>
      <c r="M50" s="235">
        <f>sumifs('25.04'!$H$7:$H$411,'25.04'!$G$7:$G$411,$D50,'25.04'!$F$7:$F$411,M$3)</f>
        <v>0</v>
      </c>
      <c r="N50" s="225">
        <f t="shared" si="12"/>
        <v>0</v>
      </c>
      <c r="O50" s="236"/>
      <c r="P50" s="236" t="str">
        <f t="shared" ref="P50:P51" si="19">N50/sum(N$50:N$51)</f>
        <v>#DIV/0!</v>
      </c>
      <c r="Q50" s="236"/>
      <c r="R50" s="236"/>
      <c r="S50" s="236"/>
      <c r="T50" s="235">
        <f>sumifs('25.04'!$H$7:$H$411,'25.04'!$J$7:$J$411,$D50,'25.04'!$K$7:$K$411,T$3)</f>
        <v>0</v>
      </c>
      <c r="U50" s="235">
        <f>sumifs('25.04'!$H$7:$H$411,'25.04'!$J$7:$J$411,$D50,'25.04'!$K$7:$K$411,U$3)</f>
        <v>0</v>
      </c>
      <c r="V50" s="235">
        <f>sumifs('25.04'!$H$7:$H$411,'25.04'!$J$7:$J$411,$D50,'25.04'!$K$7:$K$411,V$3)</f>
        <v>0</v>
      </c>
      <c r="W50" s="235">
        <f>sumifs('25.04'!$H$7:$H$411,'25.04'!$J$7:$J$411,$D50,'25.04'!$K$7:$K$411,W$3)</f>
        <v>0</v>
      </c>
      <c r="X50" s="235">
        <f>sumifs('25.04'!$H$7:$H$411,'25.04'!$J$7:$J$411,$D50,'25.04'!$K$7:$K$411,X$3)</f>
        <v>0</v>
      </c>
      <c r="Y50" s="235">
        <f>sumifs('25.04'!$H$7:$H$411,'25.04'!$J$7:$J$411,$D50,'25.04'!$K$7:$K$411,Y$3)</f>
        <v>0</v>
      </c>
      <c r="Z50" s="235">
        <f>sumifs('25.04'!$H$7:$H$411,'25.04'!$J$7:$J$411,$D50,'25.04'!$K$7:$K$411,Z$3)</f>
        <v>0</v>
      </c>
      <c r="AA50" s="235">
        <f>sumifs('25.04'!$H$7:$H$411,'25.04'!$J$7:$J$411,$D50,'25.04'!$K$7:$K$411,AA$3)</f>
        <v>0</v>
      </c>
      <c r="AB50" s="235">
        <f>sumifs('25.04'!$H$7:$H$411,'25.04'!$J$7:$J$411,$D50,'25.04'!$K$7:$K$411,AB$3)</f>
        <v>0</v>
      </c>
      <c r="AC50" s="225">
        <f t="shared" si="15"/>
        <v>0</v>
      </c>
    </row>
    <row r="51">
      <c r="B51" s="238"/>
      <c r="C51" s="254">
        <v>44964.0</v>
      </c>
      <c r="D51" s="255" t="s">
        <v>122</v>
      </c>
      <c r="E51" s="256">
        <f>sumifs('25.04'!$H$7:$H$411,'25.04'!$G$7:$G$411,$D51,'25.04'!$F$7:$F$411,E$3)</f>
        <v>0</v>
      </c>
      <c r="F51" s="256">
        <f>sumifs('25.04'!$H$7:$H$411,'25.04'!$G$7:$G$411,$D51,'25.04'!$F$7:$F$411,F$3)</f>
        <v>0</v>
      </c>
      <c r="G51" s="256">
        <f>sumifs('25.04'!$H$7:$H$411,'25.04'!$G$7:$G$411,$D51,'25.04'!$F$7:$F$411,G$3)</f>
        <v>0</v>
      </c>
      <c r="H51" s="256">
        <f>sumifs('25.04'!$H$7:$H$411,'25.04'!$G$7:$G$411,$D51,'25.04'!$F$7:$F$411,H$3)</f>
        <v>0</v>
      </c>
      <c r="I51" s="256">
        <f>sumifs('25.04'!$H$7:$H$411,'25.04'!$G$7:$G$411,$D51,'25.04'!$F$7:$F$411,I$3)</f>
        <v>0</v>
      </c>
      <c r="J51" s="256">
        <f>sumifs('25.04'!$H$7:$H$411,'25.04'!$G$7:$G$411,$D51,'25.04'!$F$7:$F$411,J$3)</f>
        <v>0</v>
      </c>
      <c r="K51" s="256">
        <f>sumifs('25.04'!$H$7:$H$411,'25.04'!$G$7:$G$411,$D51,'25.04'!$F$7:$F$411,K$3)</f>
        <v>0</v>
      </c>
      <c r="L51" s="256">
        <f>sumifs('25.04'!$H$7:$H$411,'25.04'!$G$7:$G$411,$D51,'25.04'!$F$7:$F$411,L$3)</f>
        <v>0</v>
      </c>
      <c r="M51" s="256">
        <f>sumifs('25.04'!$H$7:$H$411,'25.04'!$G$7:$G$411,$D51,'25.04'!$F$7:$F$411,M$3)</f>
        <v>0</v>
      </c>
      <c r="N51" s="257">
        <f t="shared" si="12"/>
        <v>0</v>
      </c>
      <c r="O51" s="258"/>
      <c r="P51" s="258" t="str">
        <f t="shared" si="19"/>
        <v>#DIV/0!</v>
      </c>
      <c r="Q51" s="258"/>
      <c r="R51" s="258"/>
      <c r="S51" s="258"/>
      <c r="T51" s="256">
        <f>sumifs('25.04'!$H$7:$H$411,'25.04'!$J$7:$J$411,$D51,'25.04'!$K$7:$K$411,T$3)</f>
        <v>0</v>
      </c>
      <c r="U51" s="256">
        <f>sumifs('25.04'!$H$7:$H$411,'25.04'!$J$7:$J$411,$D51,'25.04'!$K$7:$K$411,U$3)</f>
        <v>0</v>
      </c>
      <c r="V51" s="256">
        <f>sumifs('25.04'!$H$7:$H$411,'25.04'!$J$7:$J$411,$D51,'25.04'!$K$7:$K$411,V$3)</f>
        <v>0</v>
      </c>
      <c r="W51" s="256">
        <f>sumifs('25.04'!$H$7:$H$411,'25.04'!$J$7:$J$411,$D51,'25.04'!$K$7:$K$411,W$3)</f>
        <v>0</v>
      </c>
      <c r="X51" s="256">
        <f>sumifs('25.04'!$H$7:$H$411,'25.04'!$J$7:$J$411,$D51,'25.04'!$K$7:$K$411,X$3)</f>
        <v>0</v>
      </c>
      <c r="Y51" s="256">
        <f>sumifs('25.04'!$H$7:$H$411,'25.04'!$J$7:$J$411,$D51,'25.04'!$K$7:$K$411,Y$3)</f>
        <v>0</v>
      </c>
      <c r="Z51" s="256">
        <f>sumifs('25.04'!$H$7:$H$411,'25.04'!$J$7:$J$411,$D51,'25.04'!$K$7:$K$411,Z$3)</f>
        <v>0</v>
      </c>
      <c r="AA51" s="256">
        <f>sumifs('25.04'!$H$7:$H$411,'25.04'!$J$7:$J$411,$D51,'25.04'!$K$7:$K$411,AA$3)</f>
        <v>0</v>
      </c>
      <c r="AB51" s="256">
        <f>sumifs('25.04'!$H$7:$H$411,'25.04'!$J$7:$J$411,$D51,'25.04'!$K$7:$K$411,AB$3)</f>
        <v>0</v>
      </c>
      <c r="AC51" s="257">
        <f t="shared" si="15"/>
        <v>0</v>
      </c>
    </row>
    <row r="52">
      <c r="A52" s="242">
        <v>8.0</v>
      </c>
      <c r="B52" s="259" t="s">
        <v>16</v>
      </c>
      <c r="C52" s="233">
        <v>44934.0</v>
      </c>
      <c r="D52" s="234" t="s">
        <v>123</v>
      </c>
      <c r="E52" s="235">
        <f>sumifs('25.04'!$H$7:$H$411,'25.04'!$G$7:$G$411,$D52,'25.04'!$F$7:$F$411,E$3)</f>
        <v>0</v>
      </c>
      <c r="F52" s="235">
        <f>sumifs('25.04'!$H$7:$H$411,'25.04'!$G$7:$G$411,$D52,'25.04'!$F$7:$F$411,F$3)</f>
        <v>0</v>
      </c>
      <c r="G52" s="235">
        <f>sumifs('25.04'!$H$7:$H$411,'25.04'!$G$7:$G$411,$D52,'25.04'!$F$7:$F$411,G$3)</f>
        <v>0</v>
      </c>
      <c r="H52" s="235">
        <f>sumifs('25.04'!$H$7:$H$411,'25.04'!$G$7:$G$411,$D52,'25.04'!$F$7:$F$411,H$3)</f>
        <v>0</v>
      </c>
      <c r="I52" s="235">
        <f>sumifs('25.04'!$H$7:$H$411,'25.04'!$G$7:$G$411,$D52,'25.04'!$F$7:$F$411,I$3)</f>
        <v>0</v>
      </c>
      <c r="J52" s="235">
        <f>sumifs('25.04'!$H$7:$H$411,'25.04'!$G$7:$G$411,$D52,'25.04'!$F$7:$F$411,J$3)</f>
        <v>0</v>
      </c>
      <c r="K52" s="235">
        <f>sumifs('25.04'!$H$7:$H$411,'25.04'!$G$7:$G$411,$D52,'25.04'!$F$7:$F$411,K$3)</f>
        <v>0</v>
      </c>
      <c r="L52" s="235">
        <f>sumifs('25.04'!$H$7:$H$411,'25.04'!$G$7:$G$411,$D52,'25.04'!$F$7:$F$411,L$3)</f>
        <v>0</v>
      </c>
      <c r="M52" s="235">
        <f>sumifs('25.04'!$H$7:$H$411,'25.04'!$G$7:$G$411,$D52,'25.04'!$F$7:$F$411,M$3)</f>
        <v>0</v>
      </c>
      <c r="N52" s="225">
        <f t="shared" si="12"/>
        <v>0</v>
      </c>
      <c r="O52" s="236"/>
      <c r="P52" s="236" t="str">
        <f t="shared" ref="P52:P59" si="20">N52/sum(N$52:N$59)</f>
        <v>#DIV/0!</v>
      </c>
      <c r="Q52" s="236"/>
      <c r="R52" s="236"/>
      <c r="S52" s="253">
        <f>N52+N53</f>
        <v>0</v>
      </c>
      <c r="T52" s="235">
        <f>sumifs('25.04'!$H$7:$H$411,'25.04'!$J$7:$J$411,$D52,'25.04'!$K$7:$K$411,T$3)</f>
        <v>0</v>
      </c>
      <c r="U52" s="235">
        <f>sumifs('25.04'!$H$7:$H$411,'25.04'!$J$7:$J$411,$D52,'25.04'!$K$7:$K$411,U$3)</f>
        <v>0</v>
      </c>
      <c r="V52" s="235">
        <f>sumifs('25.04'!$H$7:$H$411,'25.04'!$J$7:$J$411,$D52,'25.04'!$K$7:$K$411,V$3)</f>
        <v>0</v>
      </c>
      <c r="W52" s="235">
        <f>sumifs('25.04'!$H$7:$H$411,'25.04'!$J$7:$J$411,$D52,'25.04'!$K$7:$K$411,W$3)</f>
        <v>0</v>
      </c>
      <c r="X52" s="235">
        <f>sumifs('25.04'!$H$7:$H$411,'25.04'!$J$7:$J$411,$D52,'25.04'!$K$7:$K$411,X$3)</f>
        <v>0</v>
      </c>
      <c r="Y52" s="235">
        <f>sumifs('25.04'!$H$7:$H$411,'25.04'!$J$7:$J$411,$D52,'25.04'!$K$7:$K$411,Y$3)</f>
        <v>0</v>
      </c>
      <c r="Z52" s="235">
        <f>sumifs('25.04'!$H$7:$H$411,'25.04'!$J$7:$J$411,$D52,'25.04'!$K$7:$K$411,Z$3)</f>
        <v>0</v>
      </c>
      <c r="AA52" s="235">
        <f>sumifs('25.04'!$H$7:$H$411,'25.04'!$J$7:$J$411,$D52,'25.04'!$K$7:$K$411,AA$3)</f>
        <v>0</v>
      </c>
      <c r="AB52" s="235">
        <f>sumifs('25.04'!$H$7:$H$411,'25.04'!$J$7:$J$411,$D52,'25.04'!$K$7:$K$411,AB$3)</f>
        <v>0</v>
      </c>
      <c r="AC52" s="225">
        <f t="shared" si="15"/>
        <v>0</v>
      </c>
    </row>
    <row r="53">
      <c r="B53" s="237"/>
      <c r="C53" s="233">
        <v>44965.0</v>
      </c>
      <c r="D53" s="234" t="s">
        <v>124</v>
      </c>
      <c r="E53" s="235">
        <f>sumifs('25.04'!$H$7:$H$411,'25.04'!$G$7:$G$411,$D53,'25.04'!$F$7:$F$411,E$3)</f>
        <v>0</v>
      </c>
      <c r="F53" s="235">
        <f>sumifs('25.04'!$H$7:$H$411,'25.04'!$G$7:$G$411,$D53,'25.04'!$F$7:$F$411,F$3)</f>
        <v>0</v>
      </c>
      <c r="G53" s="235">
        <f>sumifs('25.04'!$H$7:$H$411,'25.04'!$G$7:$G$411,$D53,'25.04'!$F$7:$F$411,G$3)</f>
        <v>0</v>
      </c>
      <c r="H53" s="235">
        <f>sumifs('25.04'!$H$7:$H$411,'25.04'!$G$7:$G$411,$D53,'25.04'!$F$7:$F$411,H$3)</f>
        <v>0</v>
      </c>
      <c r="I53" s="235">
        <f>sumifs('25.04'!$H$7:$H$411,'25.04'!$G$7:$G$411,$D53,'25.04'!$F$7:$F$411,I$3)</f>
        <v>0</v>
      </c>
      <c r="J53" s="235">
        <f>sumifs('25.04'!$H$7:$H$411,'25.04'!$G$7:$G$411,$D53,'25.04'!$F$7:$F$411,J$3)</f>
        <v>0</v>
      </c>
      <c r="K53" s="235">
        <f>sumifs('25.04'!$H$7:$H$411,'25.04'!$G$7:$G$411,$D53,'25.04'!$F$7:$F$411,K$3)</f>
        <v>0</v>
      </c>
      <c r="L53" s="235">
        <f>sumifs('25.04'!$H$7:$H$411,'25.04'!$G$7:$G$411,$D53,'25.04'!$F$7:$F$411,L$3)</f>
        <v>0</v>
      </c>
      <c r="M53" s="235">
        <f>sumifs('25.04'!$H$7:$H$411,'25.04'!$G$7:$G$411,$D53,'25.04'!$F$7:$F$411,M$3)</f>
        <v>0</v>
      </c>
      <c r="N53" s="225">
        <f t="shared" si="12"/>
        <v>0</v>
      </c>
      <c r="O53" s="236"/>
      <c r="P53" s="236" t="str">
        <f t="shared" si="20"/>
        <v>#DIV/0!</v>
      </c>
      <c r="Q53" s="236"/>
      <c r="R53" s="236"/>
      <c r="S53" s="253">
        <f>AC52+AC53</f>
        <v>0</v>
      </c>
      <c r="T53" s="235">
        <f>sumifs('25.04'!$H$7:$H$411,'25.04'!$J$7:$J$411,$D53,'25.04'!$K$7:$K$411,T$3)</f>
        <v>0</v>
      </c>
      <c r="U53" s="235">
        <f>sumifs('25.04'!$H$7:$H$411,'25.04'!$J$7:$J$411,$D53,'25.04'!$K$7:$K$411,U$3)</f>
        <v>0</v>
      </c>
      <c r="V53" s="235">
        <f>sumifs('25.04'!$H$7:$H$411,'25.04'!$J$7:$J$411,$D53,'25.04'!$K$7:$K$411,V$3)</f>
        <v>0</v>
      </c>
      <c r="W53" s="235">
        <f>sumifs('25.04'!$H$7:$H$411,'25.04'!$J$7:$J$411,$D53,'25.04'!$K$7:$K$411,W$3)</f>
        <v>0</v>
      </c>
      <c r="X53" s="235">
        <f>sumifs('25.04'!$H$7:$H$411,'25.04'!$J$7:$J$411,$D53,'25.04'!$K$7:$K$411,X$3)</f>
        <v>0</v>
      </c>
      <c r="Y53" s="235">
        <f>sumifs('25.04'!$H$7:$H$411,'25.04'!$J$7:$J$411,$D53,'25.04'!$K$7:$K$411,Y$3)</f>
        <v>0</v>
      </c>
      <c r="Z53" s="235">
        <f>sumifs('25.04'!$H$7:$H$411,'25.04'!$J$7:$J$411,$D53,'25.04'!$K$7:$K$411,Z$3)</f>
        <v>0</v>
      </c>
      <c r="AA53" s="235">
        <f>sumifs('25.04'!$H$7:$H$411,'25.04'!$J$7:$J$411,$D53,'25.04'!$K$7:$K$411,AA$3)</f>
        <v>0</v>
      </c>
      <c r="AB53" s="235">
        <f>sumifs('25.04'!$H$7:$H$411,'25.04'!$J$7:$J$411,$D53,'25.04'!$K$7:$K$411,AB$3)</f>
        <v>0</v>
      </c>
      <c r="AC53" s="225">
        <f t="shared" si="15"/>
        <v>0</v>
      </c>
    </row>
    <row r="54">
      <c r="B54" s="237"/>
      <c r="C54" s="233">
        <v>44993.0</v>
      </c>
      <c r="D54" s="234" t="s">
        <v>125</v>
      </c>
      <c r="E54" s="235">
        <f>sumifs('25.04'!$H$7:$H$411,'25.04'!$G$7:$G$411,$D54,'25.04'!$F$7:$F$411,E$3)</f>
        <v>0</v>
      </c>
      <c r="F54" s="235">
        <f>sumifs('25.04'!$H$7:$H$411,'25.04'!$G$7:$G$411,$D54,'25.04'!$F$7:$F$411,F$3)</f>
        <v>0</v>
      </c>
      <c r="G54" s="235">
        <f>sumifs('25.04'!$H$7:$H$411,'25.04'!$G$7:$G$411,$D54,'25.04'!$F$7:$F$411,G$3)</f>
        <v>0</v>
      </c>
      <c r="H54" s="235">
        <f>sumifs('25.04'!$H$7:$H$411,'25.04'!$G$7:$G$411,$D54,'25.04'!$F$7:$F$411,H$3)</f>
        <v>0</v>
      </c>
      <c r="I54" s="235">
        <f>sumifs('25.04'!$H$7:$H$411,'25.04'!$G$7:$G$411,$D54,'25.04'!$F$7:$F$411,I$3)</f>
        <v>0</v>
      </c>
      <c r="J54" s="235">
        <f>sumifs('25.04'!$H$7:$H$411,'25.04'!$G$7:$G$411,$D54,'25.04'!$F$7:$F$411,J$3)</f>
        <v>0</v>
      </c>
      <c r="K54" s="235">
        <f>sumifs('25.04'!$H$7:$H$411,'25.04'!$G$7:$G$411,$D54,'25.04'!$F$7:$F$411,K$3)</f>
        <v>0</v>
      </c>
      <c r="L54" s="235">
        <f>sumifs('25.04'!$H$7:$H$411,'25.04'!$G$7:$G$411,$D54,'25.04'!$F$7:$F$411,L$3)</f>
        <v>0</v>
      </c>
      <c r="M54" s="235">
        <f>sumifs('25.04'!$H$7:$H$411,'25.04'!$G$7:$G$411,$D54,'25.04'!$F$7:$F$411,M$3)</f>
        <v>0</v>
      </c>
      <c r="N54" s="225">
        <f t="shared" si="12"/>
        <v>0</v>
      </c>
      <c r="O54" s="236"/>
      <c r="P54" s="236" t="str">
        <f t="shared" si="20"/>
        <v>#DIV/0!</v>
      </c>
      <c r="Q54" s="236"/>
      <c r="R54" s="236"/>
      <c r="S54" s="260">
        <f>S52-S53</f>
        <v>0</v>
      </c>
      <c r="T54" s="235">
        <f>sumifs('25.04'!$H$7:$H$411,'25.04'!$J$7:$J$411,$D54,'25.04'!$K$7:$K$411,T$3)</f>
        <v>0</v>
      </c>
      <c r="U54" s="235">
        <f>sumifs('25.04'!$H$7:$H$411,'25.04'!$J$7:$J$411,$D54,'25.04'!$K$7:$K$411,U$3)</f>
        <v>0</v>
      </c>
      <c r="V54" s="235">
        <f>sumifs('25.04'!$H$7:$H$411,'25.04'!$J$7:$J$411,$D54,'25.04'!$K$7:$K$411,V$3)</f>
        <v>0</v>
      </c>
      <c r="W54" s="235">
        <f>sumifs('25.04'!$H$7:$H$411,'25.04'!$J$7:$J$411,$D54,'25.04'!$K$7:$K$411,W$3)</f>
        <v>0</v>
      </c>
      <c r="X54" s="235">
        <f>sumifs('25.04'!$H$7:$H$411,'25.04'!$J$7:$J$411,$D54,'25.04'!$K$7:$K$411,X$3)</f>
        <v>0</v>
      </c>
      <c r="Y54" s="235">
        <f>sumifs('25.04'!$H$7:$H$411,'25.04'!$J$7:$J$411,$D54,'25.04'!$K$7:$K$411,Y$3)</f>
        <v>0</v>
      </c>
      <c r="Z54" s="235">
        <f>sumifs('25.04'!$H$7:$H$411,'25.04'!$J$7:$J$411,$D54,'25.04'!$K$7:$K$411,Z$3)</f>
        <v>0</v>
      </c>
      <c r="AA54" s="235">
        <f>sumifs('25.04'!$H$7:$H$411,'25.04'!$J$7:$J$411,$D54,'25.04'!$K$7:$K$411,AA$3)</f>
        <v>0</v>
      </c>
      <c r="AB54" s="235">
        <f>sumifs('25.04'!$H$7:$H$411,'25.04'!$J$7:$J$411,$D54,'25.04'!$K$7:$K$411,AB$3)</f>
        <v>0</v>
      </c>
      <c r="AC54" s="225">
        <f t="shared" si="15"/>
        <v>0</v>
      </c>
    </row>
    <row r="55">
      <c r="B55" s="237"/>
      <c r="C55" s="233">
        <v>45024.0</v>
      </c>
      <c r="D55" s="234" t="s">
        <v>126</v>
      </c>
      <c r="E55" s="235">
        <f>sumifs('25.04'!$H$7:$H$411,'25.04'!$G$7:$G$411,$D55,'25.04'!$F$7:$F$411,E$3)</f>
        <v>0</v>
      </c>
      <c r="F55" s="235">
        <f>sumifs('25.04'!$H$7:$H$411,'25.04'!$G$7:$G$411,$D55,'25.04'!$F$7:$F$411,F$3)</f>
        <v>0</v>
      </c>
      <c r="G55" s="235">
        <f>sumifs('25.04'!$H$7:$H$411,'25.04'!$G$7:$G$411,$D55,'25.04'!$F$7:$F$411,G$3)</f>
        <v>0</v>
      </c>
      <c r="H55" s="235">
        <f>sumifs('25.04'!$H$7:$H$411,'25.04'!$G$7:$G$411,$D55,'25.04'!$F$7:$F$411,H$3)</f>
        <v>0</v>
      </c>
      <c r="I55" s="235">
        <f>sumifs('25.04'!$H$7:$H$411,'25.04'!$G$7:$G$411,$D55,'25.04'!$F$7:$F$411,I$3)</f>
        <v>0</v>
      </c>
      <c r="J55" s="235">
        <f>sumifs('25.04'!$H$7:$H$411,'25.04'!$G$7:$G$411,$D55,'25.04'!$F$7:$F$411,J$3)</f>
        <v>0</v>
      </c>
      <c r="K55" s="235">
        <f>sumifs('25.04'!$H$7:$H$411,'25.04'!$G$7:$G$411,$D55,'25.04'!$F$7:$F$411,K$3)</f>
        <v>0</v>
      </c>
      <c r="L55" s="235">
        <f>sumifs('25.04'!$H$7:$H$411,'25.04'!$G$7:$G$411,$D55,'25.04'!$F$7:$F$411,L$3)</f>
        <v>0</v>
      </c>
      <c r="M55" s="235">
        <f>sumifs('25.04'!$H$7:$H$411,'25.04'!$G$7:$G$411,$D55,'25.04'!$F$7:$F$411,M$3)</f>
        <v>0</v>
      </c>
      <c r="N55" s="225">
        <f t="shared" si="12"/>
        <v>0</v>
      </c>
      <c r="O55" s="236"/>
      <c r="P55" s="236" t="str">
        <f t="shared" si="20"/>
        <v>#DIV/0!</v>
      </c>
      <c r="Q55" s="236"/>
      <c r="R55" s="236"/>
      <c r="S55" s="236"/>
      <c r="T55" s="235">
        <f>sumifs('25.04'!$H$7:$H$411,'25.04'!$J$7:$J$411,$D55,'25.04'!$K$7:$K$411,T$3)</f>
        <v>0</v>
      </c>
      <c r="U55" s="235">
        <f>sumifs('25.04'!$H$7:$H$411,'25.04'!$J$7:$J$411,$D55,'25.04'!$K$7:$K$411,U$3)</f>
        <v>0</v>
      </c>
      <c r="V55" s="235">
        <f>sumifs('25.04'!$H$7:$H$411,'25.04'!$J$7:$J$411,$D55,'25.04'!$K$7:$K$411,V$3)</f>
        <v>0</v>
      </c>
      <c r="W55" s="235">
        <f>sumifs('25.04'!$H$7:$H$411,'25.04'!$J$7:$J$411,$D55,'25.04'!$K$7:$K$411,W$3)</f>
        <v>0</v>
      </c>
      <c r="X55" s="235">
        <f>sumifs('25.04'!$H$7:$H$411,'25.04'!$J$7:$J$411,$D55,'25.04'!$K$7:$K$411,X$3)</f>
        <v>0</v>
      </c>
      <c r="Y55" s="235">
        <f>sumifs('25.04'!$H$7:$H$411,'25.04'!$J$7:$J$411,$D55,'25.04'!$K$7:$K$411,Y$3)</f>
        <v>0</v>
      </c>
      <c r="Z55" s="235">
        <f>sumifs('25.04'!$H$7:$H$411,'25.04'!$J$7:$J$411,$D55,'25.04'!$K$7:$K$411,Z$3)</f>
        <v>0</v>
      </c>
      <c r="AA55" s="235">
        <f>sumifs('25.04'!$H$7:$H$411,'25.04'!$J$7:$J$411,$D55,'25.04'!$K$7:$K$411,AA$3)</f>
        <v>0</v>
      </c>
      <c r="AB55" s="235">
        <f>sumifs('25.04'!$H$7:$H$411,'25.04'!$J$7:$J$411,$D55,'25.04'!$K$7:$K$411,AB$3)</f>
        <v>0</v>
      </c>
      <c r="AC55" s="225">
        <f t="shared" si="15"/>
        <v>0</v>
      </c>
    </row>
    <row r="56">
      <c r="B56" s="237"/>
      <c r="C56" s="233">
        <v>45054.0</v>
      </c>
      <c r="D56" s="234" t="s">
        <v>127</v>
      </c>
      <c r="E56" s="235">
        <f>sumifs('25.04'!$H$7:$H$411,'25.04'!$G$7:$G$411,$D56,'25.04'!$F$7:$F$411,E$3)</f>
        <v>0</v>
      </c>
      <c r="F56" s="235">
        <f>sumifs('25.04'!$H$7:$H$411,'25.04'!$G$7:$G$411,$D56,'25.04'!$F$7:$F$411,F$3)</f>
        <v>0</v>
      </c>
      <c r="G56" s="235">
        <f>sumifs('25.04'!$H$7:$H$411,'25.04'!$G$7:$G$411,$D56,'25.04'!$F$7:$F$411,G$3)</f>
        <v>0</v>
      </c>
      <c r="H56" s="235">
        <f>sumifs('25.04'!$H$7:$H$411,'25.04'!$G$7:$G$411,$D56,'25.04'!$F$7:$F$411,H$3)</f>
        <v>0</v>
      </c>
      <c r="I56" s="235">
        <f>sumifs('25.04'!$H$7:$H$411,'25.04'!$G$7:$G$411,$D56,'25.04'!$F$7:$F$411,I$3)</f>
        <v>0</v>
      </c>
      <c r="J56" s="235">
        <f>sumifs('25.04'!$H$7:$H$411,'25.04'!$G$7:$G$411,$D56,'25.04'!$F$7:$F$411,J$3)</f>
        <v>0</v>
      </c>
      <c r="K56" s="235">
        <f>sumifs('25.04'!$H$7:$H$411,'25.04'!$G$7:$G$411,$D56,'25.04'!$F$7:$F$411,K$3)</f>
        <v>0</v>
      </c>
      <c r="L56" s="235">
        <f>sumifs('25.04'!$H$7:$H$411,'25.04'!$G$7:$G$411,$D56,'25.04'!$F$7:$F$411,L$3)</f>
        <v>0</v>
      </c>
      <c r="M56" s="235">
        <f>sumifs('25.04'!$H$7:$H$411,'25.04'!$G$7:$G$411,$D56,'25.04'!$F$7:$F$411,M$3)</f>
        <v>0</v>
      </c>
      <c r="N56" s="225">
        <f t="shared" si="12"/>
        <v>0</v>
      </c>
      <c r="O56" s="236"/>
      <c r="P56" s="236" t="str">
        <f t="shared" si="20"/>
        <v>#DIV/0!</v>
      </c>
      <c r="Q56" s="236"/>
      <c r="R56" s="236"/>
      <c r="S56" s="236"/>
      <c r="T56" s="235">
        <f>sumifs('25.04'!$H$7:$H$411,'25.04'!$J$7:$J$411,$D56,'25.04'!$K$7:$K$411,T$3)</f>
        <v>0</v>
      </c>
      <c r="U56" s="235">
        <f>sumifs('25.04'!$H$7:$H$411,'25.04'!$J$7:$J$411,$D56,'25.04'!$K$7:$K$411,U$3)</f>
        <v>0</v>
      </c>
      <c r="V56" s="235">
        <f>sumifs('25.04'!$H$7:$H$411,'25.04'!$J$7:$J$411,$D56,'25.04'!$K$7:$K$411,V$3)</f>
        <v>0</v>
      </c>
      <c r="W56" s="235">
        <f>sumifs('25.04'!$H$7:$H$411,'25.04'!$J$7:$J$411,$D56,'25.04'!$K$7:$K$411,W$3)</f>
        <v>0</v>
      </c>
      <c r="X56" s="235">
        <f>sumifs('25.04'!$H$7:$H$411,'25.04'!$J$7:$J$411,$D56,'25.04'!$K$7:$K$411,X$3)</f>
        <v>0</v>
      </c>
      <c r="Y56" s="235">
        <f>sumifs('25.04'!$H$7:$H$411,'25.04'!$J$7:$J$411,$D56,'25.04'!$K$7:$K$411,Y$3)</f>
        <v>0</v>
      </c>
      <c r="Z56" s="235">
        <f>sumifs('25.04'!$H$7:$H$411,'25.04'!$J$7:$J$411,$D56,'25.04'!$K$7:$K$411,Z$3)</f>
        <v>0</v>
      </c>
      <c r="AA56" s="235">
        <f>sumifs('25.04'!$H$7:$H$411,'25.04'!$J$7:$J$411,$D56,'25.04'!$K$7:$K$411,AA$3)</f>
        <v>0</v>
      </c>
      <c r="AB56" s="235">
        <f>sumifs('25.04'!$H$7:$H$411,'25.04'!$J$7:$J$411,$D56,'25.04'!$K$7:$K$411,AB$3)</f>
        <v>0</v>
      </c>
      <c r="AC56" s="225">
        <f t="shared" si="15"/>
        <v>0</v>
      </c>
    </row>
    <row r="57">
      <c r="B57" s="237"/>
      <c r="C57" s="239">
        <v>45085.0</v>
      </c>
      <c r="D57" s="240" t="s">
        <v>128</v>
      </c>
      <c r="E57" s="235">
        <f>sumifs('25.04'!$H$7:$H$411,'25.04'!$G$7:$G$411,$D57,'25.04'!$F$7:$F$411,E$3)</f>
        <v>0</v>
      </c>
      <c r="F57" s="235">
        <f>sumifs('25.04'!$H$7:$H$411,'25.04'!$G$7:$G$411,$D57,'25.04'!$F$7:$F$411,F$3)</f>
        <v>0</v>
      </c>
      <c r="G57" s="235">
        <f>sumifs('25.04'!$H$7:$H$411,'25.04'!$G$7:$G$411,$D57,'25.04'!$F$7:$F$411,G$3)</f>
        <v>0</v>
      </c>
      <c r="H57" s="235">
        <f>sumifs('25.04'!$H$7:$H$411,'25.04'!$G$7:$G$411,$D57,'25.04'!$F$7:$F$411,H$3)</f>
        <v>0</v>
      </c>
      <c r="I57" s="235">
        <f>sumifs('25.04'!$H$7:$H$411,'25.04'!$G$7:$G$411,$D57,'25.04'!$F$7:$F$411,I$3)</f>
        <v>0</v>
      </c>
      <c r="J57" s="235">
        <f>sumifs('25.04'!$H$7:$H$411,'25.04'!$G$7:$G$411,$D57,'25.04'!$F$7:$F$411,J$3)</f>
        <v>0</v>
      </c>
      <c r="K57" s="235">
        <f>sumifs('25.04'!$H$7:$H$411,'25.04'!$G$7:$G$411,$D57,'25.04'!$F$7:$F$411,K$3)</f>
        <v>0</v>
      </c>
      <c r="L57" s="235">
        <f>sumifs('25.04'!$H$7:$H$411,'25.04'!$G$7:$G$411,$D57,'25.04'!$F$7:$F$411,L$3)</f>
        <v>0</v>
      </c>
      <c r="M57" s="235">
        <f>sumifs('25.04'!$H$7:$H$411,'25.04'!$G$7:$G$411,$D57,'25.04'!$F$7:$F$411,M$3)</f>
        <v>0</v>
      </c>
      <c r="N57" s="225">
        <f t="shared" si="12"/>
        <v>0</v>
      </c>
      <c r="O57" s="236"/>
      <c r="P57" s="236" t="str">
        <f t="shared" si="20"/>
        <v>#DIV/0!</v>
      </c>
      <c r="Q57" s="236"/>
      <c r="R57" s="236"/>
      <c r="S57" s="236"/>
      <c r="T57" s="235">
        <f>sumifs('25.04'!$H$7:$H$411,'25.04'!$J$7:$J$411,$D57,'25.04'!$K$7:$K$411,T$3)</f>
        <v>0</v>
      </c>
      <c r="U57" s="235">
        <f>sumifs('25.04'!$H$7:$H$411,'25.04'!$J$7:$J$411,$D57,'25.04'!$K$7:$K$411,U$3)</f>
        <v>0</v>
      </c>
      <c r="V57" s="235">
        <f>sumifs('25.04'!$H$7:$H$411,'25.04'!$J$7:$J$411,$D57,'25.04'!$K$7:$K$411,V$3)</f>
        <v>0</v>
      </c>
      <c r="W57" s="235">
        <f>sumifs('25.04'!$H$7:$H$411,'25.04'!$J$7:$J$411,$D57,'25.04'!$K$7:$K$411,W$3)</f>
        <v>0</v>
      </c>
      <c r="X57" s="235">
        <f>sumifs('25.04'!$H$7:$H$411,'25.04'!$J$7:$J$411,$D57,'25.04'!$K$7:$K$411,X$3)</f>
        <v>0</v>
      </c>
      <c r="Y57" s="235">
        <f>sumifs('25.04'!$H$7:$H$411,'25.04'!$J$7:$J$411,$D57,'25.04'!$K$7:$K$411,Y$3)</f>
        <v>0</v>
      </c>
      <c r="Z57" s="235">
        <f>sumifs('25.04'!$H$7:$H$411,'25.04'!$J$7:$J$411,$D57,'25.04'!$K$7:$K$411,Z$3)</f>
        <v>0</v>
      </c>
      <c r="AA57" s="235">
        <f>sumifs('25.04'!$H$7:$H$411,'25.04'!$J$7:$J$411,$D57,'25.04'!$K$7:$K$411,AA$3)</f>
        <v>0</v>
      </c>
      <c r="AB57" s="235">
        <f>sumifs('25.04'!$H$7:$H$411,'25.04'!$J$7:$J$411,$D57,'25.04'!$K$7:$K$411,AB$3)</f>
        <v>0</v>
      </c>
      <c r="AC57" s="225">
        <f t="shared" si="15"/>
        <v>0</v>
      </c>
    </row>
    <row r="58">
      <c r="B58" s="237"/>
      <c r="C58" s="239">
        <v>45115.0</v>
      </c>
      <c r="D58" s="240" t="s">
        <v>129</v>
      </c>
      <c r="E58" s="235">
        <f>sumifs('25.04'!$H$7:$H$411,'25.04'!$G$7:$G$411,$D58,'25.04'!$F$7:$F$411,E$3)</f>
        <v>0</v>
      </c>
      <c r="F58" s="235">
        <f>sumifs('25.04'!$H$7:$H$411,'25.04'!$G$7:$G$411,$D58,'25.04'!$F$7:$F$411,F$3)</f>
        <v>0</v>
      </c>
      <c r="G58" s="235">
        <f>sumifs('25.04'!$H$7:$H$411,'25.04'!$G$7:$G$411,$D58,'25.04'!$F$7:$F$411,G$3)</f>
        <v>0</v>
      </c>
      <c r="H58" s="235">
        <f>sumifs('25.04'!$H$7:$H$411,'25.04'!$G$7:$G$411,$D58,'25.04'!$F$7:$F$411,H$3)</f>
        <v>0</v>
      </c>
      <c r="I58" s="235">
        <f>sumifs('25.04'!$H$7:$H$411,'25.04'!$G$7:$G$411,$D58,'25.04'!$F$7:$F$411,I$3)</f>
        <v>0</v>
      </c>
      <c r="J58" s="235">
        <f>sumifs('25.04'!$H$7:$H$411,'25.04'!$G$7:$G$411,$D58,'25.04'!$F$7:$F$411,J$3)</f>
        <v>0</v>
      </c>
      <c r="K58" s="235">
        <f>sumifs('25.04'!$H$7:$H$411,'25.04'!$G$7:$G$411,$D58,'25.04'!$F$7:$F$411,K$3)</f>
        <v>0</v>
      </c>
      <c r="L58" s="235">
        <f>sumifs('25.04'!$H$7:$H$411,'25.04'!$G$7:$G$411,$D58,'25.04'!$F$7:$F$411,L$3)</f>
        <v>0</v>
      </c>
      <c r="M58" s="235">
        <f>sumifs('25.04'!$H$7:$H$411,'25.04'!$G$7:$G$411,$D58,'25.04'!$F$7:$F$411,M$3)</f>
        <v>0</v>
      </c>
      <c r="N58" s="225">
        <f t="shared" si="12"/>
        <v>0</v>
      </c>
      <c r="O58" s="236"/>
      <c r="P58" s="236" t="str">
        <f t="shared" si="20"/>
        <v>#DIV/0!</v>
      </c>
      <c r="Q58" s="236"/>
      <c r="R58" s="236"/>
      <c r="S58" s="236"/>
      <c r="T58" s="235">
        <f>sumifs('25.04'!$H$7:$H$411,'25.04'!$J$7:$J$411,$D58,'25.04'!$K$7:$K$411,T$3)</f>
        <v>0</v>
      </c>
      <c r="U58" s="235">
        <f>sumifs('25.04'!$H$7:$H$411,'25.04'!$J$7:$J$411,$D58,'25.04'!$K$7:$K$411,U$3)</f>
        <v>0</v>
      </c>
      <c r="V58" s="235">
        <f>sumifs('25.04'!$H$7:$H$411,'25.04'!$J$7:$J$411,$D58,'25.04'!$K$7:$K$411,V$3)</f>
        <v>0</v>
      </c>
      <c r="W58" s="235">
        <f>sumifs('25.04'!$H$7:$H$411,'25.04'!$J$7:$J$411,$D58,'25.04'!$K$7:$K$411,W$3)</f>
        <v>0</v>
      </c>
      <c r="X58" s="235">
        <f>sumifs('25.04'!$H$7:$H$411,'25.04'!$J$7:$J$411,$D58,'25.04'!$K$7:$K$411,X$3)</f>
        <v>0</v>
      </c>
      <c r="Y58" s="235">
        <f>sumifs('25.04'!$H$7:$H$411,'25.04'!$J$7:$J$411,$D58,'25.04'!$K$7:$K$411,Y$3)</f>
        <v>0</v>
      </c>
      <c r="Z58" s="235">
        <f>sumifs('25.04'!$H$7:$H$411,'25.04'!$J$7:$J$411,$D58,'25.04'!$K$7:$K$411,Z$3)</f>
        <v>0</v>
      </c>
      <c r="AA58" s="235">
        <f>sumifs('25.04'!$H$7:$H$411,'25.04'!$J$7:$J$411,$D58,'25.04'!$K$7:$K$411,AA$3)</f>
        <v>0</v>
      </c>
      <c r="AB58" s="235">
        <f>sumifs('25.04'!$H$7:$H$411,'25.04'!$J$7:$J$411,$D58,'25.04'!$K$7:$K$411,AB$3)</f>
        <v>0</v>
      </c>
      <c r="AC58" s="225">
        <f t="shared" si="15"/>
        <v>0</v>
      </c>
    </row>
    <row r="59">
      <c r="B59" s="238"/>
      <c r="C59" s="254">
        <v>45146.0</v>
      </c>
      <c r="D59" s="255" t="s">
        <v>130</v>
      </c>
      <c r="E59" s="256">
        <f>sumifs('25.04'!$H$7:$H$411,'25.04'!$G$7:$G$411,$D59,'25.04'!$F$7:$F$411,E$3)</f>
        <v>0</v>
      </c>
      <c r="F59" s="256">
        <f>sumifs('25.04'!$H$7:$H$411,'25.04'!$G$7:$G$411,$D59,'25.04'!$F$7:$F$411,F$3)</f>
        <v>0</v>
      </c>
      <c r="G59" s="256">
        <f>sumifs('25.04'!$H$7:$H$411,'25.04'!$G$7:$G$411,$D59,'25.04'!$F$7:$F$411,G$3)</f>
        <v>0</v>
      </c>
      <c r="H59" s="256">
        <f>sumifs('25.04'!$H$7:$H$411,'25.04'!$G$7:$G$411,$D59,'25.04'!$F$7:$F$411,H$3)</f>
        <v>0</v>
      </c>
      <c r="I59" s="256">
        <f>sumifs('25.04'!$H$7:$H$411,'25.04'!$G$7:$G$411,$D59,'25.04'!$F$7:$F$411,I$3)</f>
        <v>0</v>
      </c>
      <c r="J59" s="256">
        <f>sumifs('25.04'!$H$7:$H$411,'25.04'!$G$7:$G$411,$D59,'25.04'!$F$7:$F$411,J$3)</f>
        <v>0</v>
      </c>
      <c r="K59" s="256">
        <f>sumifs('25.04'!$H$7:$H$411,'25.04'!$G$7:$G$411,$D59,'25.04'!$F$7:$F$411,K$3)</f>
        <v>0</v>
      </c>
      <c r="L59" s="256">
        <f>sumifs('25.04'!$H$7:$H$411,'25.04'!$G$7:$G$411,$D59,'25.04'!$F$7:$F$411,L$3)</f>
        <v>0</v>
      </c>
      <c r="M59" s="256">
        <f>sumifs('25.04'!$H$7:$H$411,'25.04'!$G$7:$G$411,$D59,'25.04'!$F$7:$F$411,M$3)</f>
        <v>0</v>
      </c>
      <c r="N59" s="257">
        <f t="shared" si="12"/>
        <v>0</v>
      </c>
      <c r="O59" s="258"/>
      <c r="P59" s="258" t="str">
        <f t="shared" si="20"/>
        <v>#DIV/0!</v>
      </c>
      <c r="Q59" s="258"/>
      <c r="R59" s="258"/>
      <c r="S59" s="258"/>
      <c r="T59" s="256">
        <f>sumifs('25.04'!$H$7:$H$411,'25.04'!$J$7:$J$411,$D59,'25.04'!$K$7:$K$411,T$3)</f>
        <v>0</v>
      </c>
      <c r="U59" s="256">
        <f>sumifs('25.04'!$H$7:$H$411,'25.04'!$J$7:$J$411,$D59,'25.04'!$K$7:$K$411,U$3)</f>
        <v>0</v>
      </c>
      <c r="V59" s="256">
        <f>sumifs('25.04'!$H$7:$H$411,'25.04'!$J$7:$J$411,$D59,'25.04'!$K$7:$K$411,V$3)</f>
        <v>0</v>
      </c>
      <c r="W59" s="256">
        <f>sumifs('25.04'!$H$7:$H$411,'25.04'!$J$7:$J$411,$D59,'25.04'!$K$7:$K$411,W$3)</f>
        <v>0</v>
      </c>
      <c r="X59" s="256">
        <f>sumifs('25.04'!$H$7:$H$411,'25.04'!$J$7:$J$411,$D59,'25.04'!$K$7:$K$411,X$3)</f>
        <v>0</v>
      </c>
      <c r="Y59" s="256">
        <f>sumifs('25.04'!$H$7:$H$411,'25.04'!$J$7:$J$411,$D59,'25.04'!$K$7:$K$411,Y$3)</f>
        <v>0</v>
      </c>
      <c r="Z59" s="256">
        <f>sumifs('25.04'!$H$7:$H$411,'25.04'!$J$7:$J$411,$D59,'25.04'!$K$7:$K$411,Z$3)</f>
        <v>0</v>
      </c>
      <c r="AA59" s="256">
        <f>sumifs('25.04'!$H$7:$H$411,'25.04'!$J$7:$J$411,$D59,'25.04'!$K$7:$K$411,AA$3)</f>
        <v>0</v>
      </c>
      <c r="AB59" s="256">
        <f>sumifs('25.04'!$H$7:$H$411,'25.04'!$J$7:$J$411,$D59,'25.04'!$K$7:$K$411,AB$3)</f>
        <v>0</v>
      </c>
      <c r="AC59" s="257">
        <f t="shared" si="15"/>
        <v>0</v>
      </c>
    </row>
    <row r="60">
      <c r="A60" s="261"/>
      <c r="B60" s="261"/>
      <c r="C60" s="262"/>
      <c r="D60" s="263" t="s">
        <v>131</v>
      </c>
      <c r="E60" s="264">
        <f t="shared" ref="E60:N60" si="21">sum(E4:E59)</f>
        <v>320000</v>
      </c>
      <c r="F60" s="264">
        <f t="shared" si="21"/>
        <v>0</v>
      </c>
      <c r="G60" s="264">
        <f t="shared" si="21"/>
        <v>3580144</v>
      </c>
      <c r="H60" s="264">
        <f t="shared" si="21"/>
        <v>0</v>
      </c>
      <c r="I60" s="264">
        <f t="shared" si="21"/>
        <v>0</v>
      </c>
      <c r="J60" s="264">
        <f t="shared" si="21"/>
        <v>0</v>
      </c>
      <c r="K60" s="264">
        <f t="shared" si="21"/>
        <v>0</v>
      </c>
      <c r="L60" s="264">
        <f t="shared" si="21"/>
        <v>0</v>
      </c>
      <c r="M60" s="264">
        <f t="shared" si="21"/>
        <v>0</v>
      </c>
      <c r="N60" s="264">
        <f t="shared" si="21"/>
        <v>3900144</v>
      </c>
      <c r="O60" s="263"/>
      <c r="P60" s="263" t="str">
        <f t="shared" ref="P60:Q60" si="22">sum(P4:P59)</f>
        <v>#DIV/0!</v>
      </c>
      <c r="Q60" s="263" t="str">
        <f t="shared" si="22"/>
        <v>#DIV/0!</v>
      </c>
      <c r="R60" s="263"/>
      <c r="S60" s="265"/>
      <c r="T60" s="264">
        <f t="shared" ref="T60:AC60" si="23">sum(T4:T59)</f>
        <v>0</v>
      </c>
      <c r="U60" s="264">
        <f t="shared" si="23"/>
        <v>0</v>
      </c>
      <c r="V60" s="264">
        <f t="shared" si="23"/>
        <v>0</v>
      </c>
      <c r="W60" s="264">
        <f t="shared" si="23"/>
        <v>0</v>
      </c>
      <c r="X60" s="264">
        <f t="shared" si="23"/>
        <v>0</v>
      </c>
      <c r="Y60" s="264">
        <f t="shared" si="23"/>
        <v>0</v>
      </c>
      <c r="Z60" s="264">
        <f t="shared" si="23"/>
        <v>0</v>
      </c>
      <c r="AA60" s="264">
        <f t="shared" si="23"/>
        <v>0</v>
      </c>
      <c r="AB60" s="264">
        <f t="shared" si="23"/>
        <v>0</v>
      </c>
      <c r="AC60" s="264">
        <f t="shared" si="23"/>
        <v>0</v>
      </c>
    </row>
    <row r="61">
      <c r="A61" s="211"/>
      <c r="B61" s="211"/>
      <c r="C61" s="266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T61" s="267"/>
    </row>
    <row r="62">
      <c r="A62" s="268"/>
      <c r="B62" s="268"/>
      <c r="C62" s="269" t="s">
        <v>132</v>
      </c>
      <c r="D62" s="270" t="s">
        <v>11</v>
      </c>
      <c r="E62" s="271" t="s">
        <v>17</v>
      </c>
      <c r="F62" s="271" t="s">
        <v>48</v>
      </c>
      <c r="G62" s="271" t="s">
        <v>24</v>
      </c>
      <c r="H62" s="271" t="s">
        <v>49</v>
      </c>
      <c r="I62" s="271" t="s">
        <v>50</v>
      </c>
      <c r="J62" s="271" t="s">
        <v>51</v>
      </c>
      <c r="K62" s="271" t="s">
        <v>52</v>
      </c>
      <c r="L62" s="271" t="s">
        <v>53</v>
      </c>
      <c r="M62" s="271"/>
      <c r="N62" s="272"/>
      <c r="O62" s="272"/>
      <c r="P62" s="272"/>
      <c r="S62" s="268"/>
      <c r="T62" s="268" t="s">
        <v>133</v>
      </c>
      <c r="U62" s="273" t="s">
        <v>134</v>
      </c>
      <c r="V62" s="274" t="s">
        <v>135</v>
      </c>
      <c r="W62" s="274" t="s">
        <v>136</v>
      </c>
      <c r="X62" s="274"/>
      <c r="Y62" s="274" t="s">
        <v>137</v>
      </c>
      <c r="Z62" s="274" t="s">
        <v>138</v>
      </c>
      <c r="AA62" s="274" t="s">
        <v>139</v>
      </c>
      <c r="AB62" s="275" t="s">
        <v>140</v>
      </c>
    </row>
    <row r="63">
      <c r="A63" s="268"/>
      <c r="B63" s="268"/>
      <c r="C63" s="276"/>
      <c r="D63" s="277" t="s">
        <v>141</v>
      </c>
      <c r="E63" s="277">
        <f>397000+40000</f>
        <v>437000</v>
      </c>
      <c r="F63" s="277">
        <v>3850110.0</v>
      </c>
      <c r="G63" s="277">
        <v>6.2001574E7</v>
      </c>
      <c r="H63" s="277">
        <v>-1665854.0</v>
      </c>
      <c r="I63" s="277">
        <v>0.0</v>
      </c>
      <c r="J63" s="277">
        <v>14250.0</v>
      </c>
      <c r="K63" s="277">
        <v>3088.0</v>
      </c>
      <c r="L63" s="278">
        <f>V74</f>
        <v>2849500000</v>
      </c>
      <c r="M63" s="278"/>
      <c r="N63" s="279">
        <f>M75+N75+O75+P75+Q75+R75</f>
        <v>101674950</v>
      </c>
      <c r="O63" s="272"/>
      <c r="P63" s="272"/>
      <c r="S63" s="268"/>
      <c r="U63" s="280">
        <v>1.0</v>
      </c>
      <c r="V63" s="281">
        <v>2.2E8</v>
      </c>
      <c r="W63" s="282">
        <v>45551.0</v>
      </c>
      <c r="X63" s="283"/>
      <c r="Y63" s="282">
        <v>45733.0</v>
      </c>
      <c r="Z63" s="284">
        <f t="shared" ref="Z63:Z71" si="24">(Y63-W63)/30</f>
        <v>6.066666667</v>
      </c>
      <c r="AA63" s="285">
        <v>0.056</v>
      </c>
      <c r="AB63" s="286">
        <f t="shared" ref="AB63:AB71" si="25">V63+V63*AA63/12*Z63</f>
        <v>226228444.4</v>
      </c>
      <c r="AC63" s="287"/>
    </row>
    <row r="64">
      <c r="A64" s="268"/>
      <c r="B64" s="268"/>
      <c r="C64" s="276"/>
      <c r="D64" s="277" t="s">
        <v>142</v>
      </c>
      <c r="E64" s="277">
        <f>sumifs('25.04'!$H$7:$H$411,'25.04'!$K$7:$K$411,E$62)</f>
        <v>18300000</v>
      </c>
      <c r="F64" s="277">
        <f>sumifs('25.04'!$H$7:$H$411,'25.04'!$K$7:$K$411,F$62)</f>
        <v>0</v>
      </c>
      <c r="G64" s="277">
        <f>sumifs('25.04'!$H$7:$H$411,'25.04'!$K$7:$K$411,G$62)</f>
        <v>0</v>
      </c>
      <c r="H64" s="277">
        <f>sumifs('25.04'!$H$7:$H$411,'25.04'!$K$7:$K$411,H$62)</f>
        <v>0</v>
      </c>
      <c r="I64" s="277">
        <f>sumifs('25.04'!$H$7:$H$411,'25.04'!$K$7:$K$411,I$62)</f>
        <v>0</v>
      </c>
      <c r="J64" s="277">
        <f>sumifs('25.04'!$H$7:$H$411,'25.04'!$K$7:$K$411,J$62)</f>
        <v>0</v>
      </c>
      <c r="K64" s="277">
        <f>sumifs('25.04'!$H$7:$H$411,'25.04'!$K$7:$K$411,K$62)</f>
        <v>0</v>
      </c>
      <c r="L64" s="277">
        <f>sumifs('25.04'!$H$7:$H$411,'25.04'!$K$7:$K$411,L$62)</f>
        <v>0</v>
      </c>
      <c r="M64" s="277"/>
      <c r="S64" s="268"/>
      <c r="U64" s="280">
        <v>2.0</v>
      </c>
      <c r="V64" s="288">
        <v>2.5E8</v>
      </c>
      <c r="W64" s="289">
        <v>45414.0</v>
      </c>
      <c r="X64" s="290"/>
      <c r="Y64" s="289">
        <v>45779.0</v>
      </c>
      <c r="Z64" s="291">
        <f t="shared" si="24"/>
        <v>12.16666667</v>
      </c>
      <c r="AA64" s="292">
        <v>0.05</v>
      </c>
      <c r="AB64" s="293">
        <f t="shared" si="25"/>
        <v>262673611.1</v>
      </c>
      <c r="AC64" s="294"/>
    </row>
    <row r="65">
      <c r="A65" s="268"/>
      <c r="B65" s="268"/>
      <c r="C65" s="276"/>
      <c r="D65" s="277" t="s">
        <v>143</v>
      </c>
      <c r="E65" s="277">
        <f>Sumifs('25.04'!$H$7:$H$411,'25.04'!$F$7:$F$411,E$62)</f>
        <v>320000</v>
      </c>
      <c r="F65" s="277">
        <f>Sumifs('25.04'!$H$7:$H$411,'25.04'!$F$7:$F$411,F$62)</f>
        <v>0</v>
      </c>
      <c r="G65" s="277">
        <f>Sumifs('25.04'!$H$7:$H$411,'25.04'!$F$7:$F$411,G$62)</f>
        <v>3580144</v>
      </c>
      <c r="H65" s="277">
        <f>Sumifs('25.04'!$H$7:$H$411,'25.04'!$F$7:$F$411,H$62)</f>
        <v>0</v>
      </c>
      <c r="I65" s="277">
        <f>Sumifs('25.04'!$H$7:$H$411,'25.04'!$F$7:$F$411,I$62)</f>
        <v>0</v>
      </c>
      <c r="J65" s="277">
        <f>Sumifs('25.04'!$H$7:$H$411,'25.04'!$F$7:$F$411,J$62)</f>
        <v>0</v>
      </c>
      <c r="K65" s="277">
        <f>Sumifs('25.04'!$H$7:$H$411,'25.04'!$F$7:$F$411,K$62)</f>
        <v>0</v>
      </c>
      <c r="L65" s="277">
        <f>Sumifs('25.04'!$H$7:$H$411,'25.04'!$F$7:$F$411,L$62)</f>
        <v>0</v>
      </c>
      <c r="M65" s="277"/>
      <c r="N65" s="272"/>
      <c r="O65" s="295">
        <f>7127400-8900000</f>
        <v>-1772600</v>
      </c>
      <c r="Q65" s="272"/>
      <c r="S65" s="268"/>
      <c r="U65" s="280">
        <v>3.0</v>
      </c>
      <c r="V65" s="296">
        <v>5.4E8</v>
      </c>
      <c r="W65" s="297">
        <v>45624.0</v>
      </c>
      <c r="X65" s="298"/>
      <c r="Y65" s="297">
        <v>45805.0</v>
      </c>
      <c r="Z65" s="299">
        <f t="shared" si="24"/>
        <v>6.033333333</v>
      </c>
      <c r="AA65" s="300">
        <v>0.045</v>
      </c>
      <c r="AB65" s="301">
        <f t="shared" si="25"/>
        <v>552217500</v>
      </c>
      <c r="AC65" s="302" t="s">
        <v>144</v>
      </c>
    </row>
    <row r="66">
      <c r="A66" s="268"/>
      <c r="B66" s="268"/>
      <c r="C66" s="276"/>
      <c r="D66" s="277" t="s">
        <v>145</v>
      </c>
      <c r="E66" s="277">
        <f t="shared" ref="E66:L66" si="26">E64-E65</f>
        <v>17980000</v>
      </c>
      <c r="F66" s="277">
        <f t="shared" si="26"/>
        <v>0</v>
      </c>
      <c r="G66" s="277">
        <f t="shared" si="26"/>
        <v>-3580144</v>
      </c>
      <c r="H66" s="277">
        <f t="shared" si="26"/>
        <v>0</v>
      </c>
      <c r="I66" s="277">
        <f t="shared" si="26"/>
        <v>0</v>
      </c>
      <c r="J66" s="277">
        <f t="shared" si="26"/>
        <v>0</v>
      </c>
      <c r="K66" s="277">
        <f t="shared" si="26"/>
        <v>0</v>
      </c>
      <c r="L66" s="277">
        <f t="shared" si="26"/>
        <v>0</v>
      </c>
      <c r="M66" s="277"/>
      <c r="Q66" s="279"/>
      <c r="R66" s="279"/>
      <c r="S66" s="268"/>
      <c r="U66" s="280">
        <v>4.0</v>
      </c>
      <c r="V66" s="296">
        <v>3.0E8</v>
      </c>
      <c r="W66" s="297">
        <v>45649.0</v>
      </c>
      <c r="X66" s="298"/>
      <c r="Y66" s="297">
        <v>45831.0</v>
      </c>
      <c r="Z66" s="299">
        <f t="shared" si="24"/>
        <v>6.066666667</v>
      </c>
      <c r="AA66" s="300">
        <v>0.059</v>
      </c>
      <c r="AB66" s="301">
        <f t="shared" si="25"/>
        <v>308948333.3</v>
      </c>
      <c r="AC66" s="303"/>
    </row>
    <row r="67">
      <c r="A67" s="268"/>
      <c r="B67" s="268"/>
      <c r="C67" s="276"/>
      <c r="D67" s="304" t="s">
        <v>146</v>
      </c>
      <c r="E67" s="304">
        <f t="shared" ref="E67:L67" si="27">E63+E64-E65</f>
        <v>18417000</v>
      </c>
      <c r="F67" s="304">
        <f t="shared" si="27"/>
        <v>3850110</v>
      </c>
      <c r="G67" s="304">
        <f t="shared" si="27"/>
        <v>58421430</v>
      </c>
      <c r="H67" s="304">
        <f t="shared" si="27"/>
        <v>-1665854</v>
      </c>
      <c r="I67" s="304">
        <f t="shared" si="27"/>
        <v>0</v>
      </c>
      <c r="J67" s="304">
        <f t="shared" si="27"/>
        <v>14250</v>
      </c>
      <c r="K67" s="304">
        <f t="shared" si="27"/>
        <v>3088</v>
      </c>
      <c r="L67" s="304">
        <f t="shared" si="27"/>
        <v>2849500000</v>
      </c>
      <c r="M67" s="304"/>
      <c r="N67" s="279">
        <f>19023059-G67</f>
        <v>-39398371</v>
      </c>
      <c r="O67" s="305"/>
      <c r="P67" s="305"/>
      <c r="S67" s="268"/>
      <c r="U67" s="280">
        <v>5.0</v>
      </c>
      <c r="V67" s="288">
        <v>2.0E8</v>
      </c>
      <c r="W67" s="289">
        <v>45476.0</v>
      </c>
      <c r="X67" s="290"/>
      <c r="Y67" s="289">
        <v>45841.0</v>
      </c>
      <c r="Z67" s="291">
        <f t="shared" si="24"/>
        <v>12.16666667</v>
      </c>
      <c r="AA67" s="292">
        <v>0.058</v>
      </c>
      <c r="AB67" s="293">
        <f t="shared" si="25"/>
        <v>211761111.1</v>
      </c>
      <c r="AC67" s="294"/>
    </row>
    <row r="68">
      <c r="A68" s="268"/>
      <c r="B68" s="268"/>
      <c r="C68" s="306"/>
      <c r="D68" s="307"/>
      <c r="E68" s="308">
        <f>sum(E67:L67)</f>
        <v>2928540024</v>
      </c>
      <c r="F68" s="309"/>
      <c r="G68" s="309"/>
      <c r="H68" s="309"/>
      <c r="I68" s="309"/>
      <c r="J68" s="309"/>
      <c r="K68" s="309"/>
      <c r="L68" s="309"/>
      <c r="M68" s="310"/>
      <c r="S68" s="268"/>
      <c r="U68" s="280">
        <v>6.0</v>
      </c>
      <c r="V68" s="296">
        <v>5.0E8</v>
      </c>
      <c r="W68" s="297">
        <v>45665.0</v>
      </c>
      <c r="X68" s="298"/>
      <c r="Y68" s="297">
        <v>45846.0</v>
      </c>
      <c r="Z68" s="299">
        <f t="shared" si="24"/>
        <v>6.033333333</v>
      </c>
      <c r="AA68" s="300">
        <v>0.055</v>
      </c>
      <c r="AB68" s="301">
        <f t="shared" si="25"/>
        <v>513826388.9</v>
      </c>
      <c r="AC68" s="303"/>
    </row>
    <row r="69">
      <c r="A69" s="311"/>
      <c r="B69" s="311"/>
      <c r="C69" s="311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3"/>
      <c r="P69" s="313"/>
      <c r="Q69" s="314"/>
      <c r="R69" s="315"/>
      <c r="S69" s="268"/>
      <c r="U69" s="280">
        <v>7.0</v>
      </c>
      <c r="V69" s="296">
        <v>5.0E8</v>
      </c>
      <c r="W69" s="297">
        <v>45665.0</v>
      </c>
      <c r="X69" s="298"/>
      <c r="Y69" s="297">
        <v>45846.0</v>
      </c>
      <c r="Z69" s="299">
        <f t="shared" si="24"/>
        <v>6.033333333</v>
      </c>
      <c r="AA69" s="300">
        <v>0.059</v>
      </c>
      <c r="AB69" s="301">
        <f t="shared" si="25"/>
        <v>514831944.4</v>
      </c>
      <c r="AC69" s="287"/>
    </row>
    <row r="70">
      <c r="A70" s="316"/>
      <c r="B70" s="316"/>
      <c r="C70" s="317" t="s">
        <v>147</v>
      </c>
      <c r="D70" s="318" t="s">
        <v>11</v>
      </c>
      <c r="E70" s="319" t="s">
        <v>58</v>
      </c>
      <c r="F70" s="319" t="s">
        <v>64</v>
      </c>
      <c r="G70" s="319" t="s">
        <v>70</v>
      </c>
      <c r="H70" s="319" t="s">
        <v>76</v>
      </c>
      <c r="I70" s="319" t="s">
        <v>82</v>
      </c>
      <c r="J70" s="319" t="s">
        <v>118</v>
      </c>
      <c r="K70" s="319" t="s">
        <v>120</v>
      </c>
      <c r="L70" s="319" t="s">
        <v>16</v>
      </c>
      <c r="M70" s="319" t="s">
        <v>148</v>
      </c>
      <c r="N70" s="319" t="s">
        <v>149</v>
      </c>
      <c r="O70" s="43" t="s">
        <v>150</v>
      </c>
      <c r="P70" s="43" t="s">
        <v>151</v>
      </c>
      <c r="Q70" s="320" t="s">
        <v>152</v>
      </c>
      <c r="R70" s="319" t="s">
        <v>153</v>
      </c>
      <c r="S70" s="319" t="s">
        <v>54</v>
      </c>
      <c r="U70" s="280">
        <v>8.0</v>
      </c>
      <c r="V70" s="296">
        <v>1.095E8</v>
      </c>
      <c r="W70" s="297">
        <v>45694.0</v>
      </c>
      <c r="X70" s="298"/>
      <c r="Y70" s="297">
        <v>45875.0</v>
      </c>
      <c r="Z70" s="299">
        <f t="shared" si="24"/>
        <v>6.033333333</v>
      </c>
      <c r="AA70" s="300">
        <v>0.055</v>
      </c>
      <c r="AB70" s="301">
        <f t="shared" si="25"/>
        <v>112527979.2</v>
      </c>
      <c r="AC70" s="287"/>
    </row>
    <row r="71">
      <c r="A71" s="316"/>
      <c r="B71" s="316"/>
      <c r="C71" s="276"/>
      <c r="D71" s="277" t="s">
        <v>141</v>
      </c>
      <c r="E71" s="321">
        <v>-7733000.0</v>
      </c>
      <c r="F71" s="322">
        <v>-3360000.0</v>
      </c>
      <c r="G71" s="322">
        <v>-1.1683E7</v>
      </c>
      <c r="H71" s="322">
        <v>-2.9686879E7</v>
      </c>
      <c r="I71" s="322">
        <v>-2.9686879E7</v>
      </c>
      <c r="J71" s="322">
        <v>0.0</v>
      </c>
      <c r="K71" s="277">
        <v>6.2520972E7</v>
      </c>
      <c r="L71" s="277">
        <v>-9.79053593E8</v>
      </c>
      <c r="M71" s="321">
        <v>1.0314E7</v>
      </c>
      <c r="N71" s="322">
        <v>1.4672E7</v>
      </c>
      <c r="O71" s="322">
        <v>5.12424E7</v>
      </c>
      <c r="P71" s="322">
        <v>1.3E7</v>
      </c>
      <c r="Q71" s="277">
        <v>2077300.0</v>
      </c>
      <c r="R71" s="277">
        <v>1.036925E7</v>
      </c>
      <c r="S71" s="278">
        <v>-2.738E8</v>
      </c>
      <c r="U71" s="280">
        <v>9.0</v>
      </c>
      <c r="V71" s="288">
        <v>2.3E8</v>
      </c>
      <c r="W71" s="297">
        <v>45675.0</v>
      </c>
      <c r="X71" s="298"/>
      <c r="Y71" s="297">
        <v>46039.0</v>
      </c>
      <c r="Z71" s="299">
        <f t="shared" si="24"/>
        <v>12.13333333</v>
      </c>
      <c r="AA71" s="300">
        <v>0.0605</v>
      </c>
      <c r="AB71" s="301">
        <f t="shared" si="25"/>
        <v>244069611.1</v>
      </c>
      <c r="AC71" s="287"/>
    </row>
    <row r="72">
      <c r="A72" s="316"/>
      <c r="B72" s="316"/>
      <c r="C72" s="276"/>
      <c r="D72" s="277" t="s">
        <v>143</v>
      </c>
      <c r="E72" s="235">
        <f>sum(N4:N9)</f>
        <v>0</v>
      </c>
      <c r="F72" s="235">
        <f>sum(N$10:N$16)</f>
        <v>320000</v>
      </c>
      <c r="G72" s="235">
        <f>sum(N17:N22)</f>
        <v>0</v>
      </c>
      <c r="H72" s="235">
        <f>sum(N23:N28)</f>
        <v>0</v>
      </c>
      <c r="I72" s="235">
        <f>sum(N29:N47)</f>
        <v>3580144</v>
      </c>
      <c r="J72" s="235">
        <f>sum(N48:N49)</f>
        <v>0</v>
      </c>
      <c r="K72" s="235">
        <f>sumifs('25.04'!$H$7:$H$411,'25.04'!$G$7:$G$411,#REF!)+sumifs('25.04'!$H$7:$H$411,'25.04'!$G$7:$G$411,$D50)+sumifs('25.04'!$H$7:$H$411,'25.04'!$G$7:$G$411,$D51)</f>
        <v>0</v>
      </c>
      <c r="L72" s="235">
        <f>sum(N52:N59)</f>
        <v>0</v>
      </c>
      <c r="M72" s="235">
        <f>sumifs('25.04'!$H$7:$H$411,'25.04'!$G$7:$G$411,M$70)</f>
        <v>0</v>
      </c>
      <c r="N72" s="235">
        <f>sumifs('25.04'!$H$7:$H$411,'25.04'!$G$7:$G$411,N$70)</f>
        <v>0</v>
      </c>
      <c r="O72" s="235">
        <f>sumifs('25.04'!$H$7:$H$411,'25.04'!$G$7:$G$411,O$70)</f>
        <v>0</v>
      </c>
      <c r="P72" s="235">
        <f>sumifs('25.04'!$H$7:$H$411,'25.04'!$G$7:$G$411,P$70)</f>
        <v>0</v>
      </c>
      <c r="Q72" s="235">
        <f>sumifs('25.04'!$H$7:$H$411,'25.04'!$G$7:$G$411,Q$70)</f>
        <v>0</v>
      </c>
      <c r="R72" s="235">
        <f>sumifs('25.04'!$H$7:$H$411,'25.04'!$G$7:$G$411,R$70)</f>
        <v>0</v>
      </c>
      <c r="S72" s="323">
        <f>sumifs('25.04'!$H$7:$H$409,'25.04'!$G$7:$G$409,S$70)</f>
        <v>0</v>
      </c>
      <c r="U72" s="280">
        <v>10.0</v>
      </c>
      <c r="V72" s="324"/>
      <c r="W72" s="325"/>
      <c r="X72" s="290"/>
      <c r="Y72" s="325"/>
      <c r="Z72" s="291"/>
      <c r="AA72" s="326"/>
      <c r="AB72" s="293"/>
      <c r="AC72" s="327"/>
    </row>
    <row r="73">
      <c r="A73" s="316"/>
      <c r="B73" s="316"/>
      <c r="C73" s="276"/>
      <c r="D73" s="277" t="s">
        <v>142</v>
      </c>
      <c r="E73" s="235">
        <f>sumifs('25.04'!$H$7:$H$411,'25.04'!$J$7:$J$411,E$70)</f>
        <v>0</v>
      </c>
      <c r="F73" s="235">
        <f>sumifs('25.04'!$H$7:$H$411,'25.04'!$J$7:$J$411,F$70)</f>
        <v>0</v>
      </c>
      <c r="G73" s="235">
        <f>sumifs('25.04'!$H$7:$H$411,'25.04'!$J$7:$J$411,G$70)</f>
        <v>0</v>
      </c>
      <c r="H73" s="235">
        <f>sumifs('25.04'!$H$7:$H$411,'25.04'!$J$7:$J$411,H$70)</f>
        <v>0</v>
      </c>
      <c r="I73" s="235">
        <f>sumifs('25.04'!$H$7:$H$411,'25.04'!$J$7:$J$411,I$70)</f>
        <v>0</v>
      </c>
      <c r="J73" s="235">
        <f>sumifs('25.04'!$H$7:$H$411,'25.04'!$J$7:$J$411,J$70)</f>
        <v>0</v>
      </c>
      <c r="K73" s="235">
        <f>sumifs('25.04'!$H$7:$H$411,'25.04'!$J$7:$J$411,#REF!)+sumifs('25.04'!$H$7:$H$411,'25.04'!$J$7:$J$411,$D50)+sumifs('25.04'!$H$7:$H$411,'25.04'!$J$7:$J$411,$D51)</f>
        <v>0</v>
      </c>
      <c r="L73" s="235">
        <f>sum(AC52:AC59)</f>
        <v>0</v>
      </c>
      <c r="M73" s="235">
        <f>sumifs('25.04'!$H$7:$H$411,'25.04'!$J$7:$J$411,M$70)</f>
        <v>0</v>
      </c>
      <c r="N73" s="235">
        <f>sumifs('25.04'!$H$7:$H$411,'25.04'!$J$7:$J$411,N$70)</f>
        <v>0</v>
      </c>
      <c r="O73" s="235">
        <f>sumifs('25.04'!$H$7:$H$411,'25.04'!$J$7:$J$411,O$70)</f>
        <v>0</v>
      </c>
      <c r="P73" s="235">
        <f>sumifs('25.04'!$H$7:$H$411,'25.04'!$J$7:$J$411,P$70)</f>
        <v>0</v>
      </c>
      <c r="Q73" s="235">
        <f>sumifs('25.04'!$H$7:$H$411,'25.04'!$J$7:$J$411,Q$70)</f>
        <v>0</v>
      </c>
      <c r="R73" s="235">
        <f>sumifs('25.04'!$H$7:$H$411,'25.04'!$J$7:$J$411,R$70)</f>
        <v>0</v>
      </c>
      <c r="S73" s="323">
        <f>Sumifs('25.04'!$H$7:$H$409,'25.04'!$J$7:$J$409,S$70)</f>
        <v>0</v>
      </c>
      <c r="U73" s="280">
        <v>11.0</v>
      </c>
      <c r="V73" s="328"/>
      <c r="W73" s="329"/>
      <c r="X73" s="329"/>
      <c r="Y73" s="329"/>
      <c r="Z73" s="330"/>
      <c r="AA73" s="331"/>
      <c r="AB73" s="332"/>
      <c r="AC73" s="327"/>
    </row>
    <row r="74">
      <c r="A74" s="316"/>
      <c r="B74" s="316"/>
      <c r="C74" s="276"/>
      <c r="D74" s="277" t="s">
        <v>145</v>
      </c>
      <c r="E74" s="277">
        <f>E73-E72</f>
        <v>0</v>
      </c>
      <c r="F74" s="277">
        <f t="shared" ref="F74:S74" si="28">F72-F73</f>
        <v>320000</v>
      </c>
      <c r="G74" s="277">
        <f t="shared" si="28"/>
        <v>0</v>
      </c>
      <c r="H74" s="277">
        <f t="shared" si="28"/>
        <v>0</v>
      </c>
      <c r="I74" s="277">
        <f t="shared" si="28"/>
        <v>3580144</v>
      </c>
      <c r="J74" s="277">
        <f t="shared" si="28"/>
        <v>0</v>
      </c>
      <c r="K74" s="277">
        <f t="shared" si="28"/>
        <v>0</v>
      </c>
      <c r="L74" s="277">
        <f t="shared" si="28"/>
        <v>0</v>
      </c>
      <c r="M74" s="277">
        <f t="shared" si="28"/>
        <v>0</v>
      </c>
      <c r="N74" s="277">
        <f t="shared" si="28"/>
        <v>0</v>
      </c>
      <c r="O74" s="277">
        <f t="shared" si="28"/>
        <v>0</v>
      </c>
      <c r="P74" s="277">
        <f t="shared" si="28"/>
        <v>0</v>
      </c>
      <c r="Q74" s="277">
        <f t="shared" si="28"/>
        <v>0</v>
      </c>
      <c r="R74" s="277">
        <f t="shared" si="28"/>
        <v>0</v>
      </c>
      <c r="S74" s="323">
        <f t="shared" si="28"/>
        <v>0</v>
      </c>
      <c r="U74" s="333"/>
      <c r="V74" s="334">
        <f>SUM(V63:V73)</f>
        <v>2849500000</v>
      </c>
      <c r="W74" s="334"/>
      <c r="X74" s="334"/>
      <c r="Y74" s="334"/>
      <c r="Z74" s="334"/>
      <c r="AA74" s="334">
        <f t="shared" ref="AA74:AB74" si="29">SUM(AA63:AA73)</f>
        <v>0.4975</v>
      </c>
      <c r="AB74" s="335">
        <f t="shared" si="29"/>
        <v>2947084924</v>
      </c>
    </row>
    <row r="75">
      <c r="A75" s="316"/>
      <c r="B75" s="316"/>
      <c r="C75" s="276"/>
      <c r="D75" s="304" t="s">
        <v>146</v>
      </c>
      <c r="E75" s="304">
        <f t="shared" ref="E75:S75" si="30">E71-E72+E73</f>
        <v>-7733000</v>
      </c>
      <c r="F75" s="304">
        <f t="shared" si="30"/>
        <v>-3680000</v>
      </c>
      <c r="G75" s="304">
        <f t="shared" si="30"/>
        <v>-11683000</v>
      </c>
      <c r="H75" s="304">
        <f t="shared" si="30"/>
        <v>-29686879</v>
      </c>
      <c r="I75" s="304">
        <f t="shared" si="30"/>
        <v>-33267023</v>
      </c>
      <c r="J75" s="304">
        <f t="shared" si="30"/>
        <v>0</v>
      </c>
      <c r="K75" s="304">
        <f t="shared" si="30"/>
        <v>62520972</v>
      </c>
      <c r="L75" s="304">
        <f t="shared" si="30"/>
        <v>-979053593</v>
      </c>
      <c r="M75" s="304">
        <f t="shared" si="30"/>
        <v>10314000</v>
      </c>
      <c r="N75" s="304">
        <f t="shared" si="30"/>
        <v>14672000</v>
      </c>
      <c r="O75" s="304">
        <f t="shared" si="30"/>
        <v>51242400</v>
      </c>
      <c r="P75" s="304">
        <f t="shared" si="30"/>
        <v>13000000</v>
      </c>
      <c r="Q75" s="304">
        <f t="shared" si="30"/>
        <v>2077300</v>
      </c>
      <c r="R75" s="304">
        <f t="shared" si="30"/>
        <v>10369250</v>
      </c>
      <c r="S75" s="304">
        <f t="shared" si="30"/>
        <v>-273800000</v>
      </c>
      <c r="U75" s="336" t="s">
        <v>154</v>
      </c>
      <c r="V75" s="337">
        <f t="shared" ref="V75:W75" si="31">M89/sum($M89:$S89)</f>
        <v>0.1738095947</v>
      </c>
      <c r="W75" s="337">
        <f t="shared" si="31"/>
        <v>0.07980138606</v>
      </c>
      <c r="X75" s="337">
        <f t="shared" ref="X75:AA75" si="32">P89/sum($M89:$S89)</f>
        <v>0.3728440853</v>
      </c>
      <c r="Y75" s="337">
        <f t="shared" si="32"/>
        <v>0.01510274828</v>
      </c>
      <c r="Z75" s="337">
        <f t="shared" si="32"/>
        <v>0.3584421856</v>
      </c>
      <c r="AA75" s="337">
        <f t="shared" si="32"/>
        <v>0</v>
      </c>
      <c r="AB75" s="279">
        <f>3000000000-V74</f>
        <v>150500000</v>
      </c>
    </row>
    <row r="76">
      <c r="A76" s="316"/>
      <c r="B76" s="316"/>
      <c r="C76" s="306"/>
      <c r="D76" s="307"/>
      <c r="E76" s="338">
        <f>sum(E75:S75)</f>
        <v>-1174707573</v>
      </c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U76" s="336" t="s">
        <v>155</v>
      </c>
      <c r="V76" s="337">
        <f t="shared" ref="V76:W76" si="33">M90/sum($M90:$S90)</f>
        <v>0.1010411262</v>
      </c>
      <c r="W76" s="337">
        <f t="shared" si="33"/>
        <v>0.007943054109</v>
      </c>
      <c r="X76" s="337">
        <f t="shared" ref="X76:AA76" si="34">P90/sum($M90:$S90)</f>
        <v>0.06588626434</v>
      </c>
      <c r="Y76" s="337">
        <f t="shared" si="34"/>
        <v>0.2682013305</v>
      </c>
      <c r="Z76" s="337">
        <f t="shared" si="34"/>
        <v>0.5569282249</v>
      </c>
      <c r="AA76" s="337">
        <f t="shared" si="34"/>
        <v>0</v>
      </c>
    </row>
    <row r="77">
      <c r="A77" s="339"/>
      <c r="B77" s="339"/>
      <c r="C77" s="339"/>
      <c r="D77" s="313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S77" s="279">
        <f>G67+F67+E67-R75-Q75-N75-M75</f>
        <v>43255990</v>
      </c>
      <c r="U77" s="336" t="s">
        <v>156</v>
      </c>
      <c r="V77" s="337">
        <f t="shared" ref="V77:W77" si="35">M91/sum($M91:$S91)</f>
        <v>0.1751404305</v>
      </c>
      <c r="W77" s="337">
        <f t="shared" si="35"/>
        <v>0.03051047045</v>
      </c>
      <c r="X77" s="337">
        <f t="shared" ref="X77:AA77" si="36">P91/sum($M91:$S91)</f>
        <v>0.02444414048</v>
      </c>
      <c r="Y77" s="337">
        <f t="shared" si="36"/>
        <v>0.00465412603</v>
      </c>
      <c r="Z77" s="337">
        <f t="shared" si="36"/>
        <v>0.7652508326</v>
      </c>
      <c r="AA77" s="337">
        <f t="shared" si="36"/>
        <v>0</v>
      </c>
    </row>
    <row r="78">
      <c r="A78" s="268"/>
      <c r="B78" s="268"/>
      <c r="C78" s="341" t="s">
        <v>157</v>
      </c>
      <c r="D78" s="342" t="s">
        <v>11</v>
      </c>
      <c r="E78" s="343" t="s">
        <v>158</v>
      </c>
      <c r="G78" s="344" t="s">
        <v>159</v>
      </c>
      <c r="I78" s="345" t="s">
        <v>160</v>
      </c>
      <c r="K78" s="346" t="s">
        <v>161</v>
      </c>
      <c r="L78" s="347" t="s">
        <v>120</v>
      </c>
      <c r="O78" s="348"/>
      <c r="P78" s="348"/>
      <c r="Q78" s="224"/>
      <c r="U78" s="349" t="s">
        <v>162</v>
      </c>
      <c r="V78" s="337">
        <f t="shared" ref="V78:W78" si="37">M92/sum($M92:$S92)</f>
        <v>0.06793045035</v>
      </c>
      <c r="W78" s="337">
        <f t="shared" si="37"/>
        <v>0.02661240725</v>
      </c>
      <c r="X78" s="337">
        <f t="shared" ref="X78:AA78" si="38">P92/sum($M92:$S92)</f>
        <v>0.03219467281</v>
      </c>
      <c r="Y78" s="337">
        <f t="shared" si="38"/>
        <v>0.006324505849</v>
      </c>
      <c r="Z78" s="337">
        <f t="shared" si="38"/>
        <v>0.8669379637</v>
      </c>
      <c r="AA78" s="337">
        <f t="shared" si="38"/>
        <v>0</v>
      </c>
    </row>
    <row r="79">
      <c r="A79" s="268"/>
      <c r="B79" s="268"/>
      <c r="C79" s="350"/>
      <c r="D79" s="351"/>
      <c r="E79" s="352" t="s">
        <v>18</v>
      </c>
      <c r="F79" s="352" t="s">
        <v>73</v>
      </c>
      <c r="G79" s="352" t="s">
        <v>163</v>
      </c>
      <c r="H79" s="352" t="s">
        <v>164</v>
      </c>
      <c r="I79" s="352" t="s">
        <v>165</v>
      </c>
      <c r="J79" s="352" t="s">
        <v>21</v>
      </c>
      <c r="K79" s="353" t="s">
        <v>14</v>
      </c>
      <c r="L79" s="352" t="s">
        <v>120</v>
      </c>
      <c r="M79" s="352" t="s">
        <v>121</v>
      </c>
      <c r="N79" s="352" t="s">
        <v>122</v>
      </c>
      <c r="O79" s="353"/>
      <c r="P79" s="353" t="s">
        <v>166</v>
      </c>
      <c r="Q79" s="353" t="s">
        <v>167</v>
      </c>
      <c r="R79" s="272"/>
      <c r="U79" s="349" t="s">
        <v>168</v>
      </c>
      <c r="V79" s="337">
        <f t="shared" ref="V79:W79" si="39">M93/sum($M93:$S93)</f>
        <v>0.05872352598</v>
      </c>
      <c r="W79" s="337">
        <f t="shared" si="39"/>
        <v>0.03869942337</v>
      </c>
      <c r="X79" s="337">
        <f t="shared" ref="X79:AA79" si="40">P93/sum($M93:$S93)</f>
        <v>0.04992366113</v>
      </c>
      <c r="Y79" s="337">
        <f t="shared" si="40"/>
        <v>0.09584905832</v>
      </c>
      <c r="Z79" s="337">
        <f t="shared" si="40"/>
        <v>0.7568043312</v>
      </c>
      <c r="AA79" s="337">
        <f t="shared" si="40"/>
        <v>0</v>
      </c>
    </row>
    <row r="80">
      <c r="A80" s="268"/>
      <c r="B80" s="268"/>
      <c r="C80" s="350"/>
      <c r="D80" s="277" t="s">
        <v>142</v>
      </c>
      <c r="E80" s="235">
        <f>sumifs('25.04'!$H$7:$H$411,'25.04'!$D$7:$D$411,E$79)</f>
        <v>5000000</v>
      </c>
      <c r="F80" s="235">
        <f>sumifs('25.04'!$H$7:$H$411,'25.04'!$D$7:$D$411,F$79)</f>
        <v>0</v>
      </c>
      <c r="G80" s="235">
        <f>sumifs('25.04'!$H$7:$H$411,'25.04'!$D$7:$D$411,G$79)</f>
        <v>0</v>
      </c>
      <c r="H80" s="235">
        <f>sumifs('25.04'!$H$7:$H$411,'25.04'!$J$7:$J$411,H$79)</f>
        <v>0</v>
      </c>
      <c r="I80" s="235">
        <f>sumifs('25.04'!$H$7:$H$411,'25.04'!$D$7:$D$411,I$79)</f>
        <v>0</v>
      </c>
      <c r="J80" s="235">
        <f>sumifs('25.04'!$H$7:$H$411,'25.04'!$D$7:$D$411,J$79)</f>
        <v>11325000</v>
      </c>
      <c r="K80" s="235">
        <f>sumifs('25.04'!$H$7:$H$411,'25.04'!$D$7:$D$411,K$79)</f>
        <v>13300000</v>
      </c>
      <c r="L80" s="235">
        <f>sumifs('25.04'!$H$7:$H$411,'25.04'!$D$7:$D$411,L$79)</f>
        <v>0</v>
      </c>
      <c r="M80" s="235">
        <f>sumifs('25.04'!$H$7:$H$411,'25.04'!$D$7:$D$411,M$79)</f>
        <v>0</v>
      </c>
      <c r="N80" s="235">
        <f>sumifs('25.04'!$H$7:$H$411,'25.04'!$D$7:$D$411,N$79)</f>
        <v>0</v>
      </c>
      <c r="O80" s="235"/>
      <c r="P80" s="235">
        <f>sumifs('25.04'!$H$7:$H$411,'25.04'!$D$7:$D$411,P$79)</f>
        <v>0</v>
      </c>
      <c r="Q80" s="354">
        <f>sumifs('25.04'!$H$7:$H$411,'25.04'!$D$7:$D$411,Q$79)</f>
        <v>0</v>
      </c>
      <c r="R80" s="355">
        <f t="shared" ref="R80:R81" si="43">sum(E80:Q80)</f>
        <v>29625000</v>
      </c>
      <c r="U80" s="349" t="s">
        <v>169</v>
      </c>
      <c r="V80" s="337">
        <f t="shared" ref="V80:W80" si="41">M94/sum($M94:$S94)</f>
        <v>0.02704705624</v>
      </c>
      <c r="W80" s="337">
        <f t="shared" si="41"/>
        <v>0.2464242626</v>
      </c>
      <c r="X80" s="337">
        <f t="shared" ref="X80:AA80" si="42">P94/sum($M94:$S94)</f>
        <v>0.009421152748</v>
      </c>
      <c r="Y80" s="337">
        <f t="shared" si="42"/>
        <v>0.003726721815</v>
      </c>
      <c r="Z80" s="337">
        <f t="shared" si="42"/>
        <v>0.5344981595</v>
      </c>
      <c r="AA80" s="337">
        <f t="shared" si="42"/>
        <v>0.1788826471</v>
      </c>
    </row>
    <row r="81">
      <c r="A81" s="268"/>
      <c r="B81" s="268"/>
      <c r="C81" s="350"/>
      <c r="D81" s="277" t="s">
        <v>143</v>
      </c>
      <c r="E81" s="235">
        <f>sumifs('25.04'!$H$7:$H$411,'25.04'!$G$7:$G$411,E$79)</f>
        <v>0</v>
      </c>
      <c r="F81" s="235">
        <f>sumifs('25.04'!$H$7:$H$411,'25.04'!$G$7:$G$411,F$79)</f>
        <v>0</v>
      </c>
      <c r="G81" s="235">
        <f>sumifs('25.04'!$H$7:$H$411,'25.04'!$G$7:$G$411,G$79)</f>
        <v>0</v>
      </c>
      <c r="H81" s="235">
        <f>sumifs('25.04'!$H$7:$H$411,'25.04'!$D$7:$D$411,H$79)</f>
        <v>0</v>
      </c>
      <c r="I81" s="235">
        <f>sumifs('25.04'!$H$7:$H$411,'25.04'!$G$7:$G$411,I$79)</f>
        <v>0</v>
      </c>
      <c r="J81" s="235">
        <f>sumifs('25.04'!$H$7:$H$411,'25.04'!$G$7:$G$411,J$79)</f>
        <v>0</v>
      </c>
      <c r="K81" s="235">
        <f>sum(N52:N59)</f>
        <v>0</v>
      </c>
      <c r="L81" s="235">
        <f>sumifs('25.04'!$H$7:$H$411,'25.04'!$G$7:$G$411,L$79)</f>
        <v>0</v>
      </c>
      <c r="M81" s="235">
        <f>sumifs('25.04'!$H$7:$H$411,'25.04'!$G$7:$G$411,M$79)</f>
        <v>0</v>
      </c>
      <c r="N81" s="235">
        <f>sumifs('25.04'!$H$7:$H$411,'25.04'!$G$7:$G$411,N$79)</f>
        <v>0</v>
      </c>
      <c r="O81" s="235"/>
      <c r="P81" s="235">
        <f>sumifs('25.04'!$H$7:$H$411,'25.04'!$G$7:$G$411,R$70)</f>
        <v>0</v>
      </c>
      <c r="Q81" s="354">
        <f>sumifs('25.04'!$H$7:$H$411,'25.04'!$G$7:$G$411,Q$79)</f>
        <v>0</v>
      </c>
      <c r="R81" s="279">
        <f t="shared" si="43"/>
        <v>0</v>
      </c>
      <c r="U81" s="349" t="s">
        <v>170</v>
      </c>
      <c r="V81" s="337">
        <f t="shared" ref="V81:W81" si="44">M95/sum($M95:$S95)</f>
        <v>0.1423643936</v>
      </c>
      <c r="W81" s="337">
        <f t="shared" si="44"/>
        <v>0.1632786622</v>
      </c>
      <c r="X81" s="337">
        <f t="shared" ref="X81:AA81" si="45">P95/sum($M95:$S95)</f>
        <v>0</v>
      </c>
      <c r="Y81" s="337">
        <f t="shared" si="45"/>
        <v>0.2395458258</v>
      </c>
      <c r="Z81" s="337">
        <f t="shared" si="45"/>
        <v>0.4548111184</v>
      </c>
      <c r="AA81" s="337">
        <f t="shared" si="45"/>
        <v>0</v>
      </c>
    </row>
    <row r="82">
      <c r="A82" s="268"/>
      <c r="B82" s="268"/>
      <c r="C82" s="350"/>
      <c r="D82" s="277" t="s">
        <v>145</v>
      </c>
      <c r="E82" s="277">
        <f t="shared" ref="E82:N82" si="46">E80-E81</f>
        <v>5000000</v>
      </c>
      <c r="F82" s="277">
        <f t="shared" si="46"/>
        <v>0</v>
      </c>
      <c r="G82" s="277">
        <f t="shared" si="46"/>
        <v>0</v>
      </c>
      <c r="H82" s="277">
        <f t="shared" si="46"/>
        <v>0</v>
      </c>
      <c r="I82" s="277">
        <f t="shared" si="46"/>
        <v>0</v>
      </c>
      <c r="J82" s="277">
        <f t="shared" si="46"/>
        <v>11325000</v>
      </c>
      <c r="K82" s="277">
        <f t="shared" si="46"/>
        <v>13300000</v>
      </c>
      <c r="L82" s="277">
        <f t="shared" si="46"/>
        <v>0</v>
      </c>
      <c r="M82" s="277">
        <f t="shared" si="46"/>
        <v>0</v>
      </c>
      <c r="N82" s="277">
        <f t="shared" si="46"/>
        <v>0</v>
      </c>
      <c r="O82" s="277"/>
      <c r="P82" s="277">
        <f t="shared" ref="P82:R82" si="47">P80-P81</f>
        <v>0</v>
      </c>
      <c r="Q82" s="277">
        <f t="shared" si="47"/>
        <v>0</v>
      </c>
      <c r="R82" s="279">
        <f t="shared" si="47"/>
        <v>29625000</v>
      </c>
      <c r="U82" s="349" t="s">
        <v>171</v>
      </c>
      <c r="V82" s="337">
        <f t="shared" ref="V82:W82" si="48">M96/sum($M96:$S96)</f>
        <v>0.0005164441499</v>
      </c>
      <c r="W82" s="337">
        <f t="shared" si="48"/>
        <v>0.1196715967</v>
      </c>
      <c r="X82" s="337">
        <f t="shared" ref="X82:AA82" si="49">P96/sum($M96:$S96)</f>
        <v>0.02385202983</v>
      </c>
      <c r="Y82" s="337">
        <f t="shared" si="49"/>
        <v>0.0256647841</v>
      </c>
      <c r="Z82" s="337">
        <f t="shared" si="49"/>
        <v>0.4045364128</v>
      </c>
      <c r="AA82" s="337">
        <f t="shared" si="49"/>
        <v>0.4257587325</v>
      </c>
    </row>
    <row r="83">
      <c r="A83" s="268"/>
      <c r="B83" s="268"/>
      <c r="C83" s="350"/>
      <c r="D83" s="304" t="s">
        <v>146</v>
      </c>
      <c r="E83" s="356">
        <f>E82+F82</f>
        <v>5000000</v>
      </c>
      <c r="F83" s="357"/>
      <c r="G83" s="356">
        <f>G82+H82</f>
        <v>0</v>
      </c>
      <c r="H83" s="358"/>
      <c r="I83" s="356">
        <f>I82+J82</f>
        <v>11325000</v>
      </c>
      <c r="J83" s="358"/>
      <c r="K83" s="356">
        <f>K82</f>
        <v>13300000</v>
      </c>
      <c r="L83" s="356">
        <f>sum(L82:N82)</f>
        <v>0</v>
      </c>
      <c r="M83" s="358"/>
      <c r="N83" s="358"/>
      <c r="O83" s="221"/>
      <c r="P83" s="221"/>
      <c r="Q83" s="221"/>
      <c r="U83" s="349" t="s">
        <v>172</v>
      </c>
      <c r="V83" s="337">
        <f t="shared" ref="V83:W83" si="50">M97/sum($M97:$S97)</f>
        <v>0.1949143054</v>
      </c>
      <c r="W83" s="337">
        <f t="shared" si="50"/>
        <v>0.2033887097</v>
      </c>
      <c r="X83" s="337">
        <f t="shared" ref="X83:AA83" si="51">P97/sum($M97:$S97)</f>
        <v>0.1168483584</v>
      </c>
      <c r="Y83" s="337">
        <f t="shared" si="51"/>
        <v>0.03282940914</v>
      </c>
      <c r="Z83" s="337">
        <f t="shared" si="51"/>
        <v>0.4520192174</v>
      </c>
      <c r="AA83" s="337">
        <f t="shared" si="51"/>
        <v>0</v>
      </c>
    </row>
    <row r="84">
      <c r="A84" s="268"/>
      <c r="B84" s="268"/>
      <c r="C84" s="359"/>
      <c r="D84" s="360"/>
      <c r="E84" s="361">
        <f>sum(E83:N83)</f>
        <v>29625000</v>
      </c>
      <c r="F84" s="362"/>
      <c r="G84" s="362"/>
      <c r="H84" s="362"/>
      <c r="I84" s="362"/>
      <c r="J84" s="362"/>
      <c r="K84" s="362"/>
      <c r="L84" s="362"/>
      <c r="M84" s="362"/>
      <c r="N84" s="362"/>
      <c r="O84" s="221"/>
      <c r="P84" s="221"/>
      <c r="Q84" s="221"/>
      <c r="U84" s="349" t="s">
        <v>173</v>
      </c>
      <c r="V84" s="337">
        <f t="shared" ref="V84:W84" si="52">M98/sum($M98:$S98)</f>
        <v>0.1191036758</v>
      </c>
      <c r="W84" s="337">
        <f t="shared" si="52"/>
        <v>0.01673160973</v>
      </c>
      <c r="X84" s="337">
        <f t="shared" ref="X84:AA84" si="53">P98/sum($M98:$S98)</f>
        <v>0.03454495389</v>
      </c>
      <c r="Y84" s="337">
        <f t="shared" si="53"/>
        <v>0.4542219336</v>
      </c>
      <c r="Z84" s="337">
        <f t="shared" si="53"/>
        <v>0.1445063159</v>
      </c>
      <c r="AA84" s="337">
        <f t="shared" si="53"/>
        <v>0.2308915111</v>
      </c>
    </row>
    <row r="85" ht="37.5" customHeight="1">
      <c r="A85" s="268"/>
      <c r="B85" s="268"/>
      <c r="C85" s="268"/>
      <c r="D85" s="268"/>
      <c r="E85" s="363">
        <f>E88*E84</f>
        <v>7406250</v>
      </c>
      <c r="F85" s="363">
        <f>F88*E84</f>
        <v>4147500</v>
      </c>
      <c r="G85" s="363">
        <f>G88*E84</f>
        <v>2370000</v>
      </c>
      <c r="H85" s="363">
        <f>H88*E84</f>
        <v>2370000</v>
      </c>
      <c r="I85" s="363">
        <f>I88*E84</f>
        <v>8887500</v>
      </c>
      <c r="J85" s="363">
        <f>J88*E84</f>
        <v>4443750</v>
      </c>
      <c r="K85" s="268"/>
      <c r="L85" s="268"/>
      <c r="M85" s="268"/>
      <c r="N85" s="221"/>
      <c r="O85" s="221"/>
      <c r="P85" s="221"/>
      <c r="Q85" s="224"/>
      <c r="U85" s="349" t="s">
        <v>174</v>
      </c>
      <c r="V85" s="337">
        <f t="shared" ref="V85:W85" si="54">M99/sum($M99:$S99)</f>
        <v>0.120988956</v>
      </c>
      <c r="W85" s="337">
        <f t="shared" si="54"/>
        <v>0.02703353191</v>
      </c>
      <c r="X85" s="337">
        <f t="shared" ref="X85:AA85" si="55">P99/sum($M99:$S99)</f>
        <v>0.4121753097</v>
      </c>
      <c r="Y85" s="337">
        <f t="shared" si="55"/>
        <v>0.282462016</v>
      </c>
      <c r="Z85" s="337">
        <f t="shared" si="55"/>
        <v>0.1573401864</v>
      </c>
      <c r="AA85" s="337">
        <f t="shared" si="55"/>
        <v>0</v>
      </c>
    </row>
    <row r="86" ht="37.5" customHeight="1">
      <c r="A86" s="268"/>
      <c r="B86" s="268"/>
      <c r="C86" s="268"/>
      <c r="D86" s="268"/>
      <c r="E86" s="364">
        <v>1.10751668E8</v>
      </c>
      <c r="F86" s="364">
        <v>6.8848813E7</v>
      </c>
      <c r="G86" s="364">
        <v>2.481177E7</v>
      </c>
      <c r="H86" s="364">
        <v>4.0700816E7</v>
      </c>
      <c r="I86" s="364">
        <v>8.5429754E7</v>
      </c>
      <c r="J86" s="364">
        <v>1.61520567E8</v>
      </c>
      <c r="K86" s="268"/>
      <c r="L86" s="268"/>
      <c r="M86" s="268"/>
      <c r="N86" s="221"/>
      <c r="O86" s="221"/>
      <c r="P86" s="221"/>
      <c r="Q86" s="224"/>
      <c r="U86" s="349"/>
      <c r="V86" s="337"/>
      <c r="W86" s="337"/>
      <c r="X86" s="337"/>
      <c r="Y86" s="337"/>
      <c r="Z86" s="337"/>
      <c r="AA86" s="337"/>
    </row>
    <row r="87" ht="37.5" customHeight="1">
      <c r="A87" s="268"/>
      <c r="B87" s="268"/>
      <c r="C87" s="268" t="s">
        <v>175</v>
      </c>
      <c r="D87" s="365" t="s">
        <v>147</v>
      </c>
      <c r="E87" s="366" t="s">
        <v>58</v>
      </c>
      <c r="F87" s="366" t="s">
        <v>64</v>
      </c>
      <c r="G87" s="366" t="s">
        <v>70</v>
      </c>
      <c r="H87" s="366" t="s">
        <v>76</v>
      </c>
      <c r="I87" s="366" t="s">
        <v>82</v>
      </c>
      <c r="J87" s="367" t="s">
        <v>118</v>
      </c>
      <c r="K87" s="368" t="s">
        <v>176</v>
      </c>
      <c r="L87" s="365" t="s">
        <v>147</v>
      </c>
      <c r="M87" s="366" t="s">
        <v>58</v>
      </c>
      <c r="N87" s="366" t="s">
        <v>64</v>
      </c>
      <c r="O87" s="366"/>
      <c r="P87" s="366" t="s">
        <v>70</v>
      </c>
      <c r="Q87" s="366" t="s">
        <v>76</v>
      </c>
      <c r="R87" s="366" t="s">
        <v>82</v>
      </c>
      <c r="S87" s="367" t="s">
        <v>118</v>
      </c>
      <c r="T87" s="369" t="s">
        <v>177</v>
      </c>
      <c r="U87" s="349" t="s">
        <v>178</v>
      </c>
      <c r="V87" s="337">
        <f t="shared" ref="V87:W87" si="56">M100/sum($M100:$S100)</f>
        <v>0</v>
      </c>
      <c r="W87" s="337">
        <f t="shared" si="56"/>
        <v>0.08204825258</v>
      </c>
      <c r="X87" s="337">
        <f t="shared" ref="X87:AA87" si="57">P100/sum($M100:$S100)</f>
        <v>0</v>
      </c>
      <c r="Y87" s="337">
        <f t="shared" si="57"/>
        <v>0</v>
      </c>
      <c r="Z87" s="337">
        <f t="shared" si="57"/>
        <v>0.9179517474</v>
      </c>
      <c r="AA87" s="337">
        <f t="shared" si="57"/>
        <v>0</v>
      </c>
    </row>
    <row r="88" ht="37.5" customHeight="1">
      <c r="A88" s="268"/>
      <c r="B88" s="268"/>
      <c r="D88" s="370"/>
      <c r="E88" s="371">
        <v>0.25</v>
      </c>
      <c r="F88" s="372">
        <v>0.14</v>
      </c>
      <c r="G88" s="372">
        <v>0.08</v>
      </c>
      <c r="H88" s="372">
        <v>0.08</v>
      </c>
      <c r="I88" s="372">
        <v>0.3</v>
      </c>
      <c r="J88" s="373">
        <v>0.15</v>
      </c>
      <c r="K88" s="374"/>
      <c r="L88" s="370"/>
      <c r="M88" s="375"/>
      <c r="N88" s="376"/>
      <c r="O88" s="377"/>
      <c r="P88" s="377"/>
      <c r="Q88" s="377"/>
      <c r="R88" s="377"/>
      <c r="S88" s="375"/>
      <c r="T88" s="378"/>
      <c r="U88" s="273" t="s">
        <v>147</v>
      </c>
      <c r="V88" s="366" t="s">
        <v>58</v>
      </c>
      <c r="W88" s="366" t="s">
        <v>64</v>
      </c>
      <c r="X88" s="366" t="s">
        <v>70</v>
      </c>
      <c r="Y88" s="366" t="s">
        <v>76</v>
      </c>
      <c r="Z88" s="366" t="s">
        <v>82</v>
      </c>
      <c r="AA88" s="367" t="s">
        <v>118</v>
      </c>
    </row>
    <row r="89" ht="22.5" customHeight="1">
      <c r="A89" s="268"/>
      <c r="B89" s="268"/>
      <c r="D89" s="379" t="s">
        <v>154</v>
      </c>
      <c r="E89" s="380">
        <f t="shared" ref="E89:J89" si="58">$E$84*E$88</f>
        <v>7406250</v>
      </c>
      <c r="F89" s="380">
        <f t="shared" si="58"/>
        <v>4147500</v>
      </c>
      <c r="G89" s="380">
        <f t="shared" si="58"/>
        <v>2370000</v>
      </c>
      <c r="H89" s="380">
        <f t="shared" si="58"/>
        <v>2370000</v>
      </c>
      <c r="I89" s="380">
        <f t="shared" si="58"/>
        <v>8887500</v>
      </c>
      <c r="J89" s="380">
        <f t="shared" si="58"/>
        <v>4443750</v>
      </c>
      <c r="K89" s="374"/>
      <c r="L89" s="379" t="s">
        <v>154</v>
      </c>
      <c r="M89" s="381">
        <v>8148000.0</v>
      </c>
      <c r="N89" s="381">
        <v>3741000.0</v>
      </c>
      <c r="O89" s="381"/>
      <c r="P89" s="381">
        <v>1.7478515E7</v>
      </c>
      <c r="Q89" s="381">
        <v>708000.0</v>
      </c>
      <c r="R89" s="381">
        <v>1.680337E7</v>
      </c>
      <c r="S89" s="382">
        <f t="shared" ref="S89:S93" si="60">J$72</f>
        <v>0</v>
      </c>
      <c r="T89" s="378"/>
      <c r="U89" s="383"/>
      <c r="V89" s="377"/>
      <c r="W89" s="376"/>
      <c r="X89" s="377"/>
      <c r="Y89" s="377"/>
      <c r="Z89" s="377"/>
      <c r="AA89" s="375"/>
    </row>
    <row r="90" ht="22.5" customHeight="1">
      <c r="A90" s="268"/>
      <c r="B90" s="268"/>
      <c r="D90" s="379" t="s">
        <v>155</v>
      </c>
      <c r="E90" s="380">
        <f t="shared" ref="E90:J90" si="59">$E$84*E$88</f>
        <v>7406250</v>
      </c>
      <c r="F90" s="380">
        <f t="shared" si="59"/>
        <v>4147500</v>
      </c>
      <c r="G90" s="380">
        <f t="shared" si="59"/>
        <v>2370000</v>
      </c>
      <c r="H90" s="380">
        <f t="shared" si="59"/>
        <v>2370000</v>
      </c>
      <c r="I90" s="380">
        <f t="shared" si="59"/>
        <v>8887500</v>
      </c>
      <c r="J90" s="380">
        <f t="shared" si="59"/>
        <v>4443750</v>
      </c>
      <c r="K90" s="374"/>
      <c r="L90" s="379" t="s">
        <v>155</v>
      </c>
      <c r="M90" s="384">
        <v>1844500.0</v>
      </c>
      <c r="N90" s="384">
        <v>145000.0</v>
      </c>
      <c r="O90" s="384"/>
      <c r="P90" s="384">
        <v>1202750.0</v>
      </c>
      <c r="Q90" s="384">
        <v>4896000.0</v>
      </c>
      <c r="R90" s="384">
        <v>1.0166693E7</v>
      </c>
      <c r="S90" s="380">
        <f t="shared" si="60"/>
        <v>0</v>
      </c>
      <c r="T90" s="378"/>
      <c r="U90" s="385" t="s">
        <v>154</v>
      </c>
      <c r="V90" s="386">
        <f t="shared" ref="V90:V101" si="63">E89-M89</f>
        <v>-741750</v>
      </c>
      <c r="W90" s="387">
        <f t="shared" ref="W90:W101" si="64">N89-F89</f>
        <v>-406500</v>
      </c>
      <c r="X90" s="386">
        <f t="shared" ref="X90:X101" si="65">G89-P89</f>
        <v>-15108515</v>
      </c>
      <c r="Y90" s="386">
        <f t="shared" ref="Y90:Y101" si="66">Q89-H89</f>
        <v>-1662000</v>
      </c>
      <c r="Z90" s="388">
        <f t="shared" ref="Z90:AA90" si="61">I89-R89</f>
        <v>-7915870</v>
      </c>
      <c r="AA90" s="386">
        <f t="shared" si="61"/>
        <v>4443750</v>
      </c>
    </row>
    <row r="91" ht="22.5" customHeight="1">
      <c r="A91" s="268"/>
      <c r="B91" s="268"/>
      <c r="D91" s="379" t="s">
        <v>156</v>
      </c>
      <c r="E91" s="380">
        <f t="shared" ref="E91:J91" si="62">$E$84*E$88</f>
        <v>7406250</v>
      </c>
      <c r="F91" s="380">
        <f t="shared" si="62"/>
        <v>4147500</v>
      </c>
      <c r="G91" s="380">
        <f t="shared" si="62"/>
        <v>2370000</v>
      </c>
      <c r="H91" s="380">
        <f t="shared" si="62"/>
        <v>2370000</v>
      </c>
      <c r="I91" s="380">
        <f t="shared" si="62"/>
        <v>8887500</v>
      </c>
      <c r="J91" s="380">
        <f t="shared" si="62"/>
        <v>4443750</v>
      </c>
      <c r="K91" s="374"/>
      <c r="L91" s="379" t="s">
        <v>156</v>
      </c>
      <c r="M91" s="384">
        <v>2.1939E7</v>
      </c>
      <c r="N91" s="384">
        <v>3821900.0</v>
      </c>
      <c r="O91" s="384"/>
      <c r="P91" s="384">
        <v>3062000.0</v>
      </c>
      <c r="Q91" s="384">
        <v>583000.0</v>
      </c>
      <c r="R91" s="384">
        <v>9.5859294E7</v>
      </c>
      <c r="S91" s="380">
        <f t="shared" si="60"/>
        <v>0</v>
      </c>
      <c r="T91" s="378"/>
      <c r="U91" s="385" t="s">
        <v>155</v>
      </c>
      <c r="V91" s="386">
        <f t="shared" si="63"/>
        <v>5561750</v>
      </c>
      <c r="W91" s="387">
        <f t="shared" si="64"/>
        <v>-4002500</v>
      </c>
      <c r="X91" s="386">
        <f t="shared" si="65"/>
        <v>1167250</v>
      </c>
      <c r="Y91" s="386">
        <f t="shared" si="66"/>
        <v>2526000</v>
      </c>
      <c r="Z91" s="388">
        <f t="shared" ref="Z91:AA91" si="67">I90-R90</f>
        <v>-1279193</v>
      </c>
      <c r="AA91" s="386">
        <f t="shared" si="67"/>
        <v>4443750</v>
      </c>
    </row>
    <row r="92" ht="22.5" customHeight="1">
      <c r="A92" s="268"/>
      <c r="B92" s="268"/>
      <c r="D92" s="385" t="s">
        <v>162</v>
      </c>
      <c r="E92" s="380">
        <f t="shared" ref="E92:J92" si="68">$E$84*E$88</f>
        <v>7406250</v>
      </c>
      <c r="F92" s="380">
        <f t="shared" si="68"/>
        <v>4147500</v>
      </c>
      <c r="G92" s="380">
        <f t="shared" si="68"/>
        <v>2370000</v>
      </c>
      <c r="H92" s="380">
        <f t="shared" si="68"/>
        <v>2370000</v>
      </c>
      <c r="I92" s="380">
        <f t="shared" si="68"/>
        <v>8887500</v>
      </c>
      <c r="J92" s="380">
        <f t="shared" si="68"/>
        <v>4443750</v>
      </c>
      <c r="K92" s="374"/>
      <c r="L92" s="385" t="s">
        <v>162</v>
      </c>
      <c r="M92" s="384">
        <v>4393000.0</v>
      </c>
      <c r="N92" s="384">
        <v>1721000.0</v>
      </c>
      <c r="O92" s="384"/>
      <c r="P92" s="384">
        <v>2082000.0</v>
      </c>
      <c r="Q92" s="384">
        <v>409000.0</v>
      </c>
      <c r="R92" s="384">
        <v>5.6064084E7</v>
      </c>
      <c r="S92" s="380">
        <f t="shared" si="60"/>
        <v>0</v>
      </c>
      <c r="T92" s="378"/>
      <c r="U92" s="385" t="s">
        <v>156</v>
      </c>
      <c r="V92" s="386">
        <f t="shared" si="63"/>
        <v>-14532750</v>
      </c>
      <c r="W92" s="387">
        <f t="shared" si="64"/>
        <v>-325600</v>
      </c>
      <c r="X92" s="386">
        <f t="shared" si="65"/>
        <v>-692000</v>
      </c>
      <c r="Y92" s="386">
        <f t="shared" si="66"/>
        <v>-1787000</v>
      </c>
      <c r="Z92" s="388">
        <f t="shared" ref="Z92:AA92" si="69">I91-R91</f>
        <v>-86971794</v>
      </c>
      <c r="AA92" s="386">
        <f t="shared" si="69"/>
        <v>4443750</v>
      </c>
    </row>
    <row r="93" ht="22.5" customHeight="1">
      <c r="A93" s="268"/>
      <c r="B93" s="268"/>
      <c r="D93" s="385" t="s">
        <v>168</v>
      </c>
      <c r="E93" s="380">
        <f t="shared" ref="E93:J93" si="70">$E$84*E$88</f>
        <v>7406250</v>
      </c>
      <c r="F93" s="380">
        <f t="shared" si="70"/>
        <v>4147500</v>
      </c>
      <c r="G93" s="380">
        <f t="shared" si="70"/>
        <v>2370000</v>
      </c>
      <c r="H93" s="380">
        <f t="shared" si="70"/>
        <v>2370000</v>
      </c>
      <c r="I93" s="380">
        <f t="shared" si="70"/>
        <v>8887500</v>
      </c>
      <c r="J93" s="380">
        <f t="shared" si="70"/>
        <v>4443750</v>
      </c>
      <c r="K93" s="374"/>
      <c r="L93" s="385" t="s">
        <v>168</v>
      </c>
      <c r="M93" s="384">
        <v>3761700.0</v>
      </c>
      <c r="N93" s="384">
        <v>2479000.0</v>
      </c>
      <c r="O93" s="384"/>
      <c r="P93" s="384">
        <v>3198000.0</v>
      </c>
      <c r="Q93" s="384">
        <v>6139880.0</v>
      </c>
      <c r="R93" s="384">
        <v>4.8479222E7</v>
      </c>
      <c r="S93" s="380">
        <f t="shared" si="60"/>
        <v>0</v>
      </c>
      <c r="T93" s="378"/>
      <c r="U93" s="385" t="s">
        <v>162</v>
      </c>
      <c r="V93" s="386">
        <f t="shared" si="63"/>
        <v>3013250</v>
      </c>
      <c r="W93" s="387">
        <f t="shared" si="64"/>
        <v>-2426500</v>
      </c>
      <c r="X93" s="386">
        <f t="shared" si="65"/>
        <v>288000</v>
      </c>
      <c r="Y93" s="386">
        <f t="shared" si="66"/>
        <v>-1961000</v>
      </c>
      <c r="Z93" s="388">
        <f t="shared" ref="Z93:AA93" si="71">I92-R92</f>
        <v>-47176584</v>
      </c>
      <c r="AA93" s="386">
        <f t="shared" si="71"/>
        <v>4443750</v>
      </c>
    </row>
    <row r="94" ht="22.5" customHeight="1">
      <c r="A94" s="268"/>
      <c r="B94" s="268"/>
      <c r="D94" s="385" t="s">
        <v>169</v>
      </c>
      <c r="E94" s="380">
        <f t="shared" ref="E94:J94" si="72">$E$84*E$88</f>
        <v>7406250</v>
      </c>
      <c r="F94" s="380">
        <f t="shared" si="72"/>
        <v>4147500</v>
      </c>
      <c r="G94" s="380">
        <f t="shared" si="72"/>
        <v>2370000</v>
      </c>
      <c r="H94" s="380">
        <f t="shared" si="72"/>
        <v>2370000</v>
      </c>
      <c r="I94" s="380">
        <f t="shared" si="72"/>
        <v>8887500</v>
      </c>
      <c r="J94" s="380">
        <f t="shared" si="72"/>
        <v>4443750</v>
      </c>
      <c r="K94" s="374"/>
      <c r="L94" s="385" t="s">
        <v>169</v>
      </c>
      <c r="M94" s="384">
        <v>1814400.0</v>
      </c>
      <c r="N94" s="384">
        <v>1.65309E7</v>
      </c>
      <c r="O94" s="384"/>
      <c r="P94" s="384">
        <v>632000.0</v>
      </c>
      <c r="Q94" s="384">
        <v>250000.0</v>
      </c>
      <c r="R94" s="384">
        <v>3.5855786E7</v>
      </c>
      <c r="S94" s="384">
        <v>1.2E7</v>
      </c>
      <c r="T94" s="378"/>
      <c r="U94" s="385" t="s">
        <v>168</v>
      </c>
      <c r="V94" s="386">
        <f t="shared" si="63"/>
        <v>3644550</v>
      </c>
      <c r="W94" s="387">
        <f t="shared" si="64"/>
        <v>-1668500</v>
      </c>
      <c r="X94" s="386">
        <f t="shared" si="65"/>
        <v>-828000</v>
      </c>
      <c r="Y94" s="386">
        <f t="shared" si="66"/>
        <v>3769880</v>
      </c>
      <c r="Z94" s="388">
        <f t="shared" ref="Z94:AA94" si="73">I93-R93</f>
        <v>-39591722</v>
      </c>
      <c r="AA94" s="386">
        <f t="shared" si="73"/>
        <v>4443750</v>
      </c>
    </row>
    <row r="95" ht="22.5" customHeight="1">
      <c r="A95" s="268"/>
      <c r="B95" s="268"/>
      <c r="D95" s="385" t="s">
        <v>170</v>
      </c>
      <c r="E95" s="380">
        <f t="shared" ref="E95:J95" si="74">$E$84*E$88</f>
        <v>7406250</v>
      </c>
      <c r="F95" s="380">
        <f t="shared" si="74"/>
        <v>4147500</v>
      </c>
      <c r="G95" s="380">
        <f t="shared" si="74"/>
        <v>2370000</v>
      </c>
      <c r="H95" s="380">
        <f t="shared" si="74"/>
        <v>2370000</v>
      </c>
      <c r="I95" s="380">
        <f t="shared" si="74"/>
        <v>8887500</v>
      </c>
      <c r="J95" s="380">
        <f t="shared" si="74"/>
        <v>4443750</v>
      </c>
      <c r="K95" s="374"/>
      <c r="L95" s="385" t="s">
        <v>170</v>
      </c>
      <c r="M95" s="384">
        <v>2909740.0</v>
      </c>
      <c r="N95" s="384">
        <v>3337200.0</v>
      </c>
      <c r="O95" s="384"/>
      <c r="P95" s="384">
        <v>0.0</v>
      </c>
      <c r="Q95" s="384">
        <v>4896000.0</v>
      </c>
      <c r="R95" s="384">
        <v>9295738.0</v>
      </c>
      <c r="S95" s="380">
        <f>J$72</f>
        <v>0</v>
      </c>
      <c r="T95" s="378"/>
      <c r="U95" s="385" t="s">
        <v>169</v>
      </c>
      <c r="V95" s="386">
        <f t="shared" si="63"/>
        <v>5591850</v>
      </c>
      <c r="W95" s="387">
        <f t="shared" si="64"/>
        <v>12383400</v>
      </c>
      <c r="X95" s="386">
        <f t="shared" si="65"/>
        <v>1738000</v>
      </c>
      <c r="Y95" s="386">
        <f t="shared" si="66"/>
        <v>-2120000</v>
      </c>
      <c r="Z95" s="388">
        <f t="shared" ref="Z95:AA95" si="75">I94-R94</f>
        <v>-26968286</v>
      </c>
      <c r="AA95" s="386">
        <f t="shared" si="75"/>
        <v>-7556250</v>
      </c>
    </row>
    <row r="96" ht="22.5" customHeight="1">
      <c r="A96" s="268"/>
      <c r="B96" s="268"/>
      <c r="D96" s="385" t="s">
        <v>171</v>
      </c>
      <c r="E96" s="380">
        <f t="shared" ref="E96:J96" si="76">$E$84*E$88</f>
        <v>7406250</v>
      </c>
      <c r="F96" s="380">
        <f t="shared" si="76"/>
        <v>4147500</v>
      </c>
      <c r="G96" s="380">
        <f t="shared" si="76"/>
        <v>2370000</v>
      </c>
      <c r="H96" s="380">
        <f t="shared" si="76"/>
        <v>2370000</v>
      </c>
      <c r="I96" s="380">
        <f t="shared" si="76"/>
        <v>8887500</v>
      </c>
      <c r="J96" s="380">
        <f t="shared" si="76"/>
        <v>4443750</v>
      </c>
      <c r="K96" s="374"/>
      <c r="L96" s="385" t="s">
        <v>171</v>
      </c>
      <c r="M96" s="384">
        <v>21652.0</v>
      </c>
      <c r="N96" s="384">
        <v>5017250.0</v>
      </c>
      <c r="O96" s="384"/>
      <c r="P96" s="384">
        <v>1000000.0</v>
      </c>
      <c r="Q96" s="384">
        <v>1076000.0</v>
      </c>
      <c r="R96" s="384">
        <v>1.6960251E7</v>
      </c>
      <c r="S96" s="384">
        <v>1.785E7</v>
      </c>
      <c r="T96" s="378"/>
      <c r="U96" s="385" t="s">
        <v>170</v>
      </c>
      <c r="V96" s="386">
        <f t="shared" si="63"/>
        <v>4496510</v>
      </c>
      <c r="W96" s="387">
        <f t="shared" si="64"/>
        <v>-810300</v>
      </c>
      <c r="X96" s="386">
        <f t="shared" si="65"/>
        <v>2370000</v>
      </c>
      <c r="Y96" s="386">
        <f t="shared" si="66"/>
        <v>2526000</v>
      </c>
      <c r="Z96" s="388">
        <f t="shared" ref="Z96:AA96" si="77">I95-R95</f>
        <v>-408238</v>
      </c>
      <c r="AA96" s="386">
        <f t="shared" si="77"/>
        <v>4443750</v>
      </c>
    </row>
    <row r="97" ht="22.5" customHeight="1">
      <c r="A97" s="268"/>
      <c r="B97" s="268"/>
      <c r="D97" s="385" t="s">
        <v>172</v>
      </c>
      <c r="E97" s="380">
        <f t="shared" ref="E97:J97" si="78">$E$84*E$88</f>
        <v>7406250</v>
      </c>
      <c r="F97" s="380">
        <f t="shared" si="78"/>
        <v>4147500</v>
      </c>
      <c r="G97" s="380">
        <f t="shared" si="78"/>
        <v>2370000</v>
      </c>
      <c r="H97" s="380">
        <f t="shared" si="78"/>
        <v>2370000</v>
      </c>
      <c r="I97" s="380">
        <f t="shared" si="78"/>
        <v>8887500</v>
      </c>
      <c r="J97" s="380">
        <f t="shared" si="78"/>
        <v>4443750</v>
      </c>
      <c r="K97" s="374"/>
      <c r="L97" s="385" t="s">
        <v>172</v>
      </c>
      <c r="M97" s="384">
        <v>4669003.0</v>
      </c>
      <c r="N97" s="384">
        <v>4872000.0</v>
      </c>
      <c r="O97" s="384"/>
      <c r="P97" s="384">
        <v>2799001.0</v>
      </c>
      <c r="Q97" s="384">
        <v>786400.0</v>
      </c>
      <c r="R97" s="384">
        <v>1.0827728E7</v>
      </c>
      <c r="S97" s="380">
        <f>J$72</f>
        <v>0</v>
      </c>
      <c r="T97" s="378"/>
      <c r="U97" s="385" t="s">
        <v>171</v>
      </c>
      <c r="V97" s="386">
        <f t="shared" si="63"/>
        <v>7384598</v>
      </c>
      <c r="W97" s="387">
        <f t="shared" si="64"/>
        <v>869750</v>
      </c>
      <c r="X97" s="386">
        <f t="shared" si="65"/>
        <v>1370000</v>
      </c>
      <c r="Y97" s="386">
        <f t="shared" si="66"/>
        <v>-1294000</v>
      </c>
      <c r="Z97" s="388">
        <f t="shared" ref="Z97:AA97" si="79">I96-R96</f>
        <v>-8072751</v>
      </c>
      <c r="AA97" s="386">
        <f t="shared" si="79"/>
        <v>-13406250</v>
      </c>
    </row>
    <row r="98" ht="22.5" customHeight="1">
      <c r="A98" s="268"/>
      <c r="B98" s="268"/>
      <c r="D98" s="385" t="s">
        <v>173</v>
      </c>
      <c r="E98" s="380">
        <f t="shared" ref="E98:J98" si="80">$E$84*E$88</f>
        <v>7406250</v>
      </c>
      <c r="F98" s="380">
        <f t="shared" si="80"/>
        <v>4147500</v>
      </c>
      <c r="G98" s="380">
        <f t="shared" si="80"/>
        <v>2370000</v>
      </c>
      <c r="H98" s="380">
        <f t="shared" si="80"/>
        <v>2370000</v>
      </c>
      <c r="I98" s="380">
        <f t="shared" si="80"/>
        <v>8887500</v>
      </c>
      <c r="J98" s="380">
        <f t="shared" si="80"/>
        <v>4443750</v>
      </c>
      <c r="K98" s="374"/>
      <c r="L98" s="385" t="s">
        <v>173</v>
      </c>
      <c r="M98" s="384">
        <v>1.0129601E7</v>
      </c>
      <c r="N98" s="384">
        <v>1423000.0</v>
      </c>
      <c r="O98" s="384"/>
      <c r="P98" s="384">
        <v>2938000.0</v>
      </c>
      <c r="Q98" s="384">
        <v>3.863094E7</v>
      </c>
      <c r="R98" s="384">
        <v>1.229006E7</v>
      </c>
      <c r="S98" s="384">
        <v>1.9637E7</v>
      </c>
      <c r="T98" s="378"/>
      <c r="U98" s="385" t="s">
        <v>172</v>
      </c>
      <c r="V98" s="386">
        <f t="shared" si="63"/>
        <v>2737247</v>
      </c>
      <c r="W98" s="387">
        <f t="shared" si="64"/>
        <v>724500</v>
      </c>
      <c r="X98" s="386">
        <f t="shared" si="65"/>
        <v>-429001</v>
      </c>
      <c r="Y98" s="386">
        <f t="shared" si="66"/>
        <v>-1583600</v>
      </c>
      <c r="Z98" s="388">
        <f t="shared" ref="Z98:AA98" si="81">I97-R97</f>
        <v>-1940228</v>
      </c>
      <c r="AA98" s="386">
        <f t="shared" si="81"/>
        <v>4443750</v>
      </c>
    </row>
    <row r="99" ht="22.5" customHeight="1">
      <c r="A99" s="268"/>
      <c r="B99" s="268"/>
      <c r="D99" s="385" t="s">
        <v>174</v>
      </c>
      <c r="E99" s="384">
        <v>5.024321E7</v>
      </c>
      <c r="F99" s="384">
        <v>2.8136198E7</v>
      </c>
      <c r="G99" s="384">
        <v>1.6077827E7</v>
      </c>
      <c r="H99" s="384">
        <v>1.6077827E7</v>
      </c>
      <c r="I99" s="384">
        <v>6.0291852E7</v>
      </c>
      <c r="J99" s="384">
        <v>3.0145926E7</v>
      </c>
      <c r="K99" s="374"/>
      <c r="L99" s="385" t="s">
        <v>174</v>
      </c>
      <c r="M99" s="384">
        <v>4569500.0</v>
      </c>
      <c r="N99" s="384">
        <v>1021000.0</v>
      </c>
      <c r="O99" s="384"/>
      <c r="P99" s="384">
        <v>1.5567E7</v>
      </c>
      <c r="Q99" s="384">
        <v>1.0668E7</v>
      </c>
      <c r="R99" s="384">
        <v>5942410.0</v>
      </c>
      <c r="S99" s="380">
        <f>J$72</f>
        <v>0</v>
      </c>
      <c r="T99" s="378"/>
      <c r="U99" s="385" t="s">
        <v>173</v>
      </c>
      <c r="V99" s="386">
        <f t="shared" si="63"/>
        <v>-2723351</v>
      </c>
      <c r="W99" s="387">
        <f t="shared" si="64"/>
        <v>-2724500</v>
      </c>
      <c r="X99" s="386">
        <f t="shared" si="65"/>
        <v>-568000</v>
      </c>
      <c r="Y99" s="386">
        <f t="shared" si="66"/>
        <v>36260940</v>
      </c>
      <c r="Z99" s="388">
        <f t="shared" ref="Z99:AA99" si="82">I98-R98</f>
        <v>-3402560</v>
      </c>
      <c r="AA99" s="386">
        <f t="shared" si="82"/>
        <v>-15193250</v>
      </c>
    </row>
    <row r="100" ht="22.5" customHeight="1">
      <c r="A100" s="268"/>
      <c r="B100" s="268"/>
      <c r="D100" s="385" t="s">
        <v>178</v>
      </c>
      <c r="E100" s="380">
        <f t="shared" ref="E100:J100" si="83">$E$84*E$88</f>
        <v>7406250</v>
      </c>
      <c r="F100" s="380">
        <f t="shared" si="83"/>
        <v>4147500</v>
      </c>
      <c r="G100" s="380">
        <f t="shared" si="83"/>
        <v>2370000</v>
      </c>
      <c r="H100" s="380">
        <f t="shared" si="83"/>
        <v>2370000</v>
      </c>
      <c r="I100" s="380">
        <f t="shared" si="83"/>
        <v>8887500</v>
      </c>
      <c r="J100" s="380">
        <f t="shared" si="83"/>
        <v>4443750</v>
      </c>
      <c r="K100" s="374"/>
      <c r="L100" s="385" t="s">
        <v>178</v>
      </c>
      <c r="M100" s="380">
        <f t="shared" ref="M100:N100" si="84">E$72</f>
        <v>0</v>
      </c>
      <c r="N100" s="380">
        <f t="shared" si="84"/>
        <v>320000</v>
      </c>
      <c r="O100" s="380"/>
      <c r="P100" s="380">
        <f t="shared" ref="P100:S100" si="85">G$72</f>
        <v>0</v>
      </c>
      <c r="Q100" s="380">
        <f t="shared" si="85"/>
        <v>0</v>
      </c>
      <c r="R100" s="380">
        <f t="shared" si="85"/>
        <v>3580144</v>
      </c>
      <c r="S100" s="380">
        <f t="shared" si="85"/>
        <v>0</v>
      </c>
      <c r="T100" s="378"/>
      <c r="U100" s="385" t="s">
        <v>174</v>
      </c>
      <c r="V100" s="386">
        <f t="shared" si="63"/>
        <v>45673710</v>
      </c>
      <c r="W100" s="387">
        <f t="shared" si="64"/>
        <v>-27115198</v>
      </c>
      <c r="X100" s="386">
        <f t="shared" si="65"/>
        <v>510827</v>
      </c>
      <c r="Y100" s="386">
        <f t="shared" si="66"/>
        <v>-5409827</v>
      </c>
      <c r="Z100" s="388">
        <f t="shared" ref="Z100:AA100" si="86">I99-R99</f>
        <v>54349442</v>
      </c>
      <c r="AA100" s="386">
        <f t="shared" si="86"/>
        <v>30145926</v>
      </c>
    </row>
    <row r="101" ht="22.5" customHeight="1">
      <c r="A101" s="268"/>
      <c r="B101" s="268"/>
      <c r="D101" s="333"/>
      <c r="E101" s="389">
        <f t="shared" ref="E101:J101" si="87">sum(E89:E100)</f>
        <v>131711960</v>
      </c>
      <c r="F101" s="389">
        <f t="shared" si="87"/>
        <v>73758698</v>
      </c>
      <c r="G101" s="389">
        <f t="shared" si="87"/>
        <v>42147827</v>
      </c>
      <c r="H101" s="389">
        <f t="shared" si="87"/>
        <v>42147827</v>
      </c>
      <c r="I101" s="389">
        <f t="shared" si="87"/>
        <v>158054352</v>
      </c>
      <c r="J101" s="389">
        <f t="shared" si="87"/>
        <v>79027176</v>
      </c>
      <c r="K101" s="390"/>
      <c r="L101" s="389">
        <f t="shared" ref="L101:N101" si="88">sum(L89:L100)</f>
        <v>0</v>
      </c>
      <c r="M101" s="389">
        <f t="shared" si="88"/>
        <v>64200096</v>
      </c>
      <c r="N101" s="389">
        <f t="shared" si="88"/>
        <v>44429250</v>
      </c>
      <c r="O101" s="389"/>
      <c r="P101" s="389">
        <f t="shared" ref="P101:S101" si="89">sum(P89:P100)</f>
        <v>49959266</v>
      </c>
      <c r="Q101" s="389">
        <f t="shared" si="89"/>
        <v>69043220</v>
      </c>
      <c r="R101" s="389">
        <f t="shared" si="89"/>
        <v>322124780</v>
      </c>
      <c r="S101" s="391">
        <f t="shared" si="89"/>
        <v>49487000</v>
      </c>
      <c r="T101" s="392"/>
      <c r="U101" s="385" t="s">
        <v>178</v>
      </c>
      <c r="V101" s="386">
        <f t="shared" si="63"/>
        <v>7406250</v>
      </c>
      <c r="W101" s="387">
        <f t="shared" si="64"/>
        <v>-3827500</v>
      </c>
      <c r="X101" s="386">
        <f t="shared" si="65"/>
        <v>2370000</v>
      </c>
      <c r="Y101" s="386">
        <f t="shared" si="66"/>
        <v>-2370000</v>
      </c>
      <c r="Z101" s="388">
        <f t="shared" ref="Z101:AA101" si="90">I100-R100</f>
        <v>5307356</v>
      </c>
      <c r="AA101" s="386">
        <f t="shared" si="90"/>
        <v>4443750</v>
      </c>
    </row>
    <row r="102" ht="22.5" customHeight="1">
      <c r="A102" s="268"/>
      <c r="B102" s="268"/>
      <c r="C102" s="268"/>
      <c r="D102" s="393"/>
      <c r="E102" s="394">
        <v>500000.0</v>
      </c>
      <c r="F102" s="394">
        <v>200000.0</v>
      </c>
      <c r="G102" s="394">
        <v>100000.0</v>
      </c>
      <c r="H102" s="394">
        <v>50000.0</v>
      </c>
      <c r="I102" s="394">
        <v>20000.0</v>
      </c>
      <c r="J102" s="394">
        <v>10000.0</v>
      </c>
      <c r="K102" s="268"/>
      <c r="L102" s="395"/>
      <c r="M102" s="395">
        <f t="shared" ref="M102:N102" si="91">M101/12</f>
        <v>5350008</v>
      </c>
      <c r="N102" s="395">
        <f t="shared" si="91"/>
        <v>3702437.5</v>
      </c>
      <c r="O102" s="395"/>
      <c r="P102" s="395">
        <f t="shared" ref="P102:S102" si="92">P101/12</f>
        <v>4163272.167</v>
      </c>
      <c r="Q102" s="395">
        <f t="shared" si="92"/>
        <v>5753601.667</v>
      </c>
      <c r="R102" s="395">
        <f t="shared" si="92"/>
        <v>26843731.67</v>
      </c>
      <c r="S102" s="395">
        <f t="shared" si="92"/>
        <v>4123916.667</v>
      </c>
      <c r="T102" s="396">
        <f>sum(M102:S102)</f>
        <v>49936967.67</v>
      </c>
      <c r="U102" s="389">
        <f t="shared" ref="U102:AA102" si="93">sum(U90:U101)</f>
        <v>0</v>
      </c>
      <c r="V102" s="389">
        <f t="shared" si="93"/>
        <v>67511864</v>
      </c>
      <c r="W102" s="389">
        <f t="shared" si="93"/>
        <v>-29329448</v>
      </c>
      <c r="X102" s="389">
        <f t="shared" si="93"/>
        <v>-7811439</v>
      </c>
      <c r="Y102" s="389">
        <f t="shared" si="93"/>
        <v>26895393</v>
      </c>
      <c r="Z102" s="389">
        <f t="shared" si="93"/>
        <v>-164070428</v>
      </c>
      <c r="AA102" s="389">
        <f t="shared" si="93"/>
        <v>29540176</v>
      </c>
    </row>
    <row r="103" ht="22.5" customHeight="1">
      <c r="A103" s="268"/>
      <c r="B103" s="268"/>
      <c r="C103" s="268"/>
      <c r="D103" s="393"/>
      <c r="E103" s="394">
        <v>33.0</v>
      </c>
      <c r="F103" s="394">
        <v>12.0</v>
      </c>
      <c r="G103" s="394"/>
      <c r="H103" s="394">
        <v>6.0</v>
      </c>
      <c r="I103" s="394"/>
      <c r="J103" s="394"/>
      <c r="K103" s="268"/>
      <c r="L103" s="395"/>
      <c r="M103" s="397">
        <f t="shared" ref="M103:N103" si="94">M$102/$T$102</f>
        <v>0.1071352197</v>
      </c>
      <c r="N103" s="397">
        <f t="shared" si="94"/>
        <v>0.07414221714</v>
      </c>
      <c r="O103" s="397"/>
      <c r="P103" s="397">
        <f t="shared" ref="P103:S103" si="95">P$102/$T$102</f>
        <v>0.08337054413</v>
      </c>
      <c r="Q103" s="397">
        <f t="shared" si="95"/>
        <v>0.1152172816</v>
      </c>
      <c r="R103" s="397">
        <f t="shared" si="95"/>
        <v>0.5375522968</v>
      </c>
      <c r="S103" s="397">
        <f t="shared" si="95"/>
        <v>0.08258244061</v>
      </c>
      <c r="T103" s="268"/>
      <c r="U103" s="395"/>
      <c r="V103" s="395"/>
      <c r="W103" s="395"/>
      <c r="X103" s="395"/>
      <c r="Y103" s="395"/>
      <c r="Z103" s="395"/>
      <c r="AA103" s="395"/>
    </row>
    <row r="104" ht="22.5" customHeight="1">
      <c r="A104" s="268"/>
      <c r="B104" s="268"/>
      <c r="C104" s="268"/>
      <c r="D104" s="398">
        <f>sum(E104:J104)</f>
        <v>19200000</v>
      </c>
      <c r="E104" s="395">
        <f t="shared" ref="E104:J104" si="96">E102*E103</f>
        <v>16500000</v>
      </c>
      <c r="F104" s="395">
        <f t="shared" si="96"/>
        <v>2400000</v>
      </c>
      <c r="G104" s="395">
        <f t="shared" si="96"/>
        <v>0</v>
      </c>
      <c r="H104" s="395">
        <f t="shared" si="96"/>
        <v>300000</v>
      </c>
      <c r="I104" s="395">
        <f t="shared" si="96"/>
        <v>0</v>
      </c>
      <c r="J104" s="395">
        <f t="shared" si="96"/>
        <v>0</v>
      </c>
      <c r="K104" s="396">
        <f>D104/2</f>
        <v>9600000</v>
      </c>
      <c r="L104" s="395"/>
      <c r="M104" s="394">
        <v>2000.0</v>
      </c>
      <c r="N104" s="394">
        <v>3.0</v>
      </c>
      <c r="O104" s="395">
        <f t="shared" ref="O104:O111" si="97">M104*N104</f>
        <v>6000</v>
      </c>
      <c r="P104" s="397"/>
      <c r="Q104" s="397"/>
      <c r="R104" s="397"/>
      <c r="S104" s="397"/>
      <c r="T104" s="268"/>
      <c r="U104" s="395"/>
      <c r="V104" s="395"/>
      <c r="W104" s="395"/>
      <c r="X104" s="395"/>
      <c r="Y104" s="395"/>
      <c r="Z104" s="395"/>
      <c r="AA104" s="395"/>
    </row>
    <row r="105" ht="22.5" customHeight="1">
      <c r="A105" s="268"/>
      <c r="B105" s="268"/>
      <c r="C105" s="268"/>
      <c r="D105" s="398"/>
      <c r="E105" s="394">
        <v>5.0</v>
      </c>
      <c r="F105" s="394">
        <v>2.0</v>
      </c>
      <c r="G105" s="394">
        <v>27.0</v>
      </c>
      <c r="H105" s="394">
        <v>23.0</v>
      </c>
      <c r="I105" s="394">
        <v>4.0</v>
      </c>
      <c r="J105" s="394">
        <v>2.0</v>
      </c>
      <c r="K105" s="396"/>
      <c r="L105" s="395"/>
      <c r="M105" s="394">
        <v>5000.0</v>
      </c>
      <c r="N105" s="394">
        <v>1.0</v>
      </c>
      <c r="O105" s="395">
        <f t="shared" si="97"/>
        <v>5000</v>
      </c>
      <c r="P105" s="397"/>
      <c r="Q105" s="397"/>
      <c r="R105" s="397"/>
      <c r="S105" s="397"/>
      <c r="T105" s="268"/>
      <c r="U105" s="395"/>
      <c r="V105" s="395"/>
      <c r="W105" s="395"/>
      <c r="X105" s="395"/>
      <c r="Y105" s="395"/>
      <c r="Z105" s="395"/>
      <c r="AA105" s="395"/>
    </row>
    <row r="106" ht="22.5" customHeight="1">
      <c r="A106" s="268"/>
      <c r="B106" s="268"/>
      <c r="C106" s="268"/>
      <c r="D106" s="398">
        <f>sum(E106:J106)</f>
        <v>6850000</v>
      </c>
      <c r="E106" s="394">
        <f t="shared" ref="E106:J106" si="98">E102*E105</f>
        <v>2500000</v>
      </c>
      <c r="F106" s="394">
        <f t="shared" si="98"/>
        <v>400000</v>
      </c>
      <c r="G106" s="394">
        <f t="shared" si="98"/>
        <v>2700000</v>
      </c>
      <c r="H106" s="394">
        <f t="shared" si="98"/>
        <v>1150000</v>
      </c>
      <c r="I106" s="394">
        <f t="shared" si="98"/>
        <v>80000</v>
      </c>
      <c r="J106" s="394">
        <f t="shared" si="98"/>
        <v>20000</v>
      </c>
      <c r="K106" s="396"/>
      <c r="L106" s="395"/>
      <c r="M106" s="394">
        <v>10000.0</v>
      </c>
      <c r="N106" s="394">
        <v>7.0</v>
      </c>
      <c r="O106" s="395">
        <f t="shared" si="97"/>
        <v>70000</v>
      </c>
      <c r="P106" s="397"/>
      <c r="Q106" s="397"/>
      <c r="R106" s="397"/>
      <c r="S106" s="397"/>
      <c r="T106" s="268"/>
      <c r="U106" s="395"/>
      <c r="V106" s="395"/>
      <c r="W106" s="395"/>
      <c r="X106" s="395"/>
      <c r="Y106" s="395"/>
      <c r="Z106" s="395"/>
      <c r="AA106" s="395"/>
    </row>
    <row r="107" ht="22.5" customHeight="1">
      <c r="A107" s="268"/>
      <c r="B107" s="268"/>
      <c r="C107" s="268"/>
      <c r="D107" s="398"/>
      <c r="E107" s="394">
        <v>500000.0</v>
      </c>
      <c r="F107" s="394">
        <v>200000.0</v>
      </c>
      <c r="G107" s="394">
        <v>100000.0</v>
      </c>
      <c r="H107" s="394">
        <v>50000.0</v>
      </c>
      <c r="I107" s="394">
        <v>20000.0</v>
      </c>
      <c r="J107" s="394">
        <v>10000.0</v>
      </c>
      <c r="K107" s="396"/>
      <c r="L107" s="395"/>
      <c r="M107" s="394">
        <v>20000.0</v>
      </c>
      <c r="N107" s="394">
        <v>2.0</v>
      </c>
      <c r="O107" s="395">
        <f t="shared" si="97"/>
        <v>40000</v>
      </c>
      <c r="P107" s="397"/>
      <c r="Q107" s="397"/>
      <c r="R107" s="397"/>
      <c r="S107" s="397"/>
      <c r="T107" s="268"/>
      <c r="U107" s="395"/>
      <c r="V107" s="395"/>
      <c r="W107" s="395"/>
      <c r="X107" s="395"/>
      <c r="Y107" s="395"/>
      <c r="Z107" s="395"/>
      <c r="AA107" s="395"/>
    </row>
    <row r="108" ht="22.5" customHeight="1">
      <c r="A108" s="268"/>
      <c r="B108" s="268"/>
      <c r="C108" s="268"/>
      <c r="D108" s="398"/>
      <c r="E108" s="394">
        <v>7.0</v>
      </c>
      <c r="F108" s="394">
        <v>12.0</v>
      </c>
      <c r="G108" s="394">
        <v>19.0</v>
      </c>
      <c r="H108" s="394">
        <v>31.0</v>
      </c>
      <c r="I108" s="394">
        <v>5.0</v>
      </c>
      <c r="J108" s="394">
        <v>5.0</v>
      </c>
      <c r="K108" s="396"/>
      <c r="L108" s="395"/>
      <c r="M108" s="394">
        <v>50000.0</v>
      </c>
      <c r="N108" s="394">
        <v>1.0</v>
      </c>
      <c r="O108" s="395">
        <f t="shared" si="97"/>
        <v>50000</v>
      </c>
      <c r="P108" s="397"/>
      <c r="Q108" s="397"/>
      <c r="R108" s="397"/>
      <c r="S108" s="397"/>
      <c r="T108" s="268"/>
      <c r="U108" s="395"/>
      <c r="V108" s="395"/>
      <c r="W108" s="395"/>
      <c r="X108" s="395"/>
      <c r="Y108" s="395"/>
      <c r="Z108" s="395"/>
      <c r="AA108" s="395"/>
    </row>
    <row r="109" ht="22.5" customHeight="1">
      <c r="A109" s="268"/>
      <c r="B109" s="268"/>
      <c r="C109" s="268"/>
      <c r="D109" s="398">
        <f>sum(E109:J109)</f>
        <v>9500000</v>
      </c>
      <c r="E109" s="395">
        <f t="shared" ref="E109:J109" si="99">E107*E108</f>
        <v>3500000</v>
      </c>
      <c r="F109" s="395">
        <f t="shared" si="99"/>
        <v>2400000</v>
      </c>
      <c r="G109" s="395">
        <f t="shared" si="99"/>
        <v>1900000</v>
      </c>
      <c r="H109" s="395">
        <f t="shared" si="99"/>
        <v>1550000</v>
      </c>
      <c r="I109" s="395">
        <f t="shared" si="99"/>
        <v>100000</v>
      </c>
      <c r="J109" s="395">
        <f t="shared" si="99"/>
        <v>50000</v>
      </c>
      <c r="K109" s="396"/>
      <c r="L109" s="395"/>
      <c r="M109" s="394">
        <v>100000.0</v>
      </c>
      <c r="N109" s="394">
        <v>5.0</v>
      </c>
      <c r="O109" s="395">
        <f t="shared" si="97"/>
        <v>500000</v>
      </c>
      <c r="P109" s="397"/>
      <c r="Q109" s="397"/>
      <c r="R109" s="397"/>
      <c r="S109" s="397"/>
      <c r="T109" s="268"/>
      <c r="U109" s="395"/>
      <c r="V109" s="395"/>
      <c r="W109" s="395"/>
      <c r="X109" s="395"/>
      <c r="Y109" s="395"/>
      <c r="Z109" s="395"/>
      <c r="AA109" s="395"/>
    </row>
    <row r="110" ht="22.5" customHeight="1">
      <c r="A110" s="268"/>
      <c r="B110" s="268"/>
      <c r="C110" s="268"/>
      <c r="D110" s="398">
        <v>9509000.0</v>
      </c>
      <c r="E110" s="394">
        <f>D110-800000</f>
        <v>8709000</v>
      </c>
      <c r="F110" s="394"/>
      <c r="G110" s="394"/>
      <c r="H110" s="394"/>
      <c r="I110" s="394"/>
      <c r="J110" s="394"/>
      <c r="K110" s="396"/>
      <c r="L110" s="395"/>
      <c r="M110" s="394">
        <v>200000.0</v>
      </c>
      <c r="N110" s="394">
        <v>24.0</v>
      </c>
      <c r="O110" s="395">
        <f t="shared" si="97"/>
        <v>4800000</v>
      </c>
      <c r="P110" s="397"/>
      <c r="Q110" s="397"/>
      <c r="R110" s="397"/>
      <c r="S110" s="397"/>
      <c r="T110" s="268"/>
      <c r="U110" s="395"/>
      <c r="V110" s="395"/>
      <c r="W110" s="395"/>
      <c r="X110" s="395"/>
      <c r="Y110" s="395"/>
      <c r="Z110" s="395"/>
      <c r="AA110" s="395"/>
    </row>
    <row r="111" ht="22.5" customHeight="1">
      <c r="A111" s="268"/>
      <c r="B111" s="268"/>
      <c r="C111" s="268"/>
      <c r="D111" s="398">
        <f>D110-E67</f>
        <v>-8908000</v>
      </c>
      <c r="E111" s="394"/>
      <c r="F111" s="394"/>
      <c r="G111" s="394"/>
      <c r="H111" s="394"/>
      <c r="I111" s="394"/>
      <c r="J111" s="394"/>
      <c r="K111" s="396"/>
      <c r="L111" s="395"/>
      <c r="M111" s="394">
        <v>500000.0</v>
      </c>
      <c r="N111" s="394">
        <v>45.0</v>
      </c>
      <c r="O111" s="395">
        <f t="shared" si="97"/>
        <v>22500000</v>
      </c>
      <c r="P111" s="395">
        <f>sum(O104:O111)</f>
        <v>27971000</v>
      </c>
      <c r="Q111" s="397"/>
      <c r="R111" s="397"/>
      <c r="S111" s="397"/>
      <c r="T111" s="268"/>
      <c r="U111" s="395"/>
      <c r="V111" s="395"/>
      <c r="W111" s="395"/>
      <c r="X111" s="395"/>
      <c r="Y111" s="395"/>
      <c r="Z111" s="395"/>
      <c r="AA111" s="395"/>
    </row>
  </sheetData>
  <mergeCells count="49">
    <mergeCell ref="C1:AC1"/>
    <mergeCell ref="E2:N2"/>
    <mergeCell ref="U2:AC2"/>
    <mergeCell ref="R4:R9"/>
    <mergeCell ref="S4:S9"/>
    <mergeCell ref="A5:A9"/>
    <mergeCell ref="B5:B9"/>
    <mergeCell ref="R10:R16"/>
    <mergeCell ref="S10:S16"/>
    <mergeCell ref="A11:A16"/>
    <mergeCell ref="B11:B16"/>
    <mergeCell ref="S17:S22"/>
    <mergeCell ref="A18:A22"/>
    <mergeCell ref="B18:B22"/>
    <mergeCell ref="C70:C76"/>
    <mergeCell ref="C78:C84"/>
    <mergeCell ref="C87:C101"/>
    <mergeCell ref="A24:A28"/>
    <mergeCell ref="B24:B28"/>
    <mergeCell ref="A29:A47"/>
    <mergeCell ref="B29:B47"/>
    <mergeCell ref="A48:A49"/>
    <mergeCell ref="B48:B49"/>
    <mergeCell ref="B50:B51"/>
    <mergeCell ref="G78:H78"/>
    <mergeCell ref="I78:J78"/>
    <mergeCell ref="E83:F83"/>
    <mergeCell ref="G83:H83"/>
    <mergeCell ref="I83:J83"/>
    <mergeCell ref="L83:N83"/>
    <mergeCell ref="E84:N84"/>
    <mergeCell ref="K87:K101"/>
    <mergeCell ref="A50:A51"/>
    <mergeCell ref="A52:A59"/>
    <mergeCell ref="B52:B59"/>
    <mergeCell ref="C62:C68"/>
    <mergeCell ref="E68:M68"/>
    <mergeCell ref="E76:R76"/>
    <mergeCell ref="E78:F78"/>
    <mergeCell ref="L78:N78"/>
    <mergeCell ref="T62:T73"/>
    <mergeCell ref="T87:T101"/>
    <mergeCell ref="R17:R22"/>
    <mergeCell ref="R23:R28"/>
    <mergeCell ref="S23:S28"/>
    <mergeCell ref="R29:R47"/>
    <mergeCell ref="S29:S47"/>
    <mergeCell ref="R48:R49"/>
    <mergeCell ref="S48:S49"/>
  </mergeCells>
  <conditionalFormatting sqref="V89:AB101 AC89:AC100">
    <cfRule type="cellIs" dxfId="3" priority="1" operator="greaterThan">
      <formula>0</formula>
    </cfRule>
  </conditionalFormatting>
  <conditionalFormatting sqref="V89:AB101 AC89:AC100">
    <cfRule type="cellIs" dxfId="4" priority="2" operator="lessThan">
      <formula>0</formula>
    </cfRule>
  </conditionalFormatting>
  <dataValidations>
    <dataValidation type="list" allowBlank="1" showErrorMessage="1" sqref="O70:P70">
      <formula1>"Education fee,Extra Education fee,Talent Education fee,Books,Stationery,Travel,Café,Restaurant,Sightseeing,Exhibition,Museum,Funeral,Wedding,Gift,Charity,Spirituality,Medical exam,Body care,Cosmetic,Medical Insurrance,Go Market,Breakfast,Extra meal,Nghĩa,"&amp;"Mai,Totto,Lego,Phone,Internet,Spotify,Banking information,Fuel,Motorcycle maintenance,Parking,Cleaning home,House shopping,House repair,Electricity,Water,Savings,Life Insurance,Design,Construction,T. Electricity,T. Water,T. Cleaning,T. shopping,T. Mainter"&amp;"nance,T. Exchange,T. Tax &amp; Social,T. Renovation,ID Student,A4 Class,Education,Enjoy,For give,Health,Living,Wearing,Information,Transportation,Housing maintenace,Living Expense,Savings,N&amp;M Studio,Togohub management,Totto fund,Lego fund,N&amp;M Salary,Loan,Papa"&amp;" fund,Nghia fund"</formula1>
    </dataValidation>
    <dataValidation type="list" allowBlank="1" showErrorMessage="1" sqref="D5:D9 D11:D16 D18:D22 D24:D59">
      <formula1>"Education fee,Extra Education fee,Talent Education fee,Books,Stationery,Travel,Café,Restaurant,Sightseeing,Exhibition,Museum,Funeral,Wedding,Gift,Charity,Spirituality,Medical exam,Body care,Cosmetic,Medical Insurrance,Go Market,Breakfast,Extra meal,Nghĩa,"&amp;"Mai,Totto,Lego,Phone,Internet,Spotify,Banking information,Fuel,Motorcycle maintenance,Parking,Cleaning home,House shopping,House repair,Electricity,Water,Savings,Life Insurance,Design,Construction,T. Electricity,T. Water,T. Cleaning,T. shopping,T. Mainter"&amp;"nance,T. Exchange,T. Tax &amp; Social,T. Renovation,Tablets,Papers"</formula1>
    </dataValidation>
    <dataValidation type="list" allowBlank="1" showErrorMessage="1" sqref="D4 B5 D10 B11 D17 B18 D23 B24 B29 B48 B50 B52 E70:N70 Q70:S70 E87:J87 M87:S88 V88:AA89">
      <formula1>"Education,Enjoy,For give,Health,Living,Savings,N&amp;M studio,Togohub management,Totto Fund,Lego Fund,ID student,A4 Class,Loan"</formula1>
    </dataValidation>
    <dataValidation type="list" allowBlank="1" showErrorMessage="1" sqref="E3:M3 T3:AB3 E62:M62">
      <formula1>"Cash,BIDV,Vietcombank,Vp bank Lady,Moca,Momo,Zalo,Saving"</formula1>
    </dataValidation>
    <dataValidation type="list" allowBlank="1" showErrorMessage="1" sqref="E79:Q79">
      <formula1>"Family,Gift,Design,Construction,UAD,N&amp;M studio,Saving interest,Banking interest,House rental money,Trash,A4 Class Parents,N&amp;M Salary"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10" width="12.63"/>
    <col customWidth="1" min="11" max="11" width="78.5"/>
    <col customWidth="1" min="12" max="12" width="12.63"/>
  </cols>
  <sheetData>
    <row r="1" ht="37.5" customHeight="1">
      <c r="A1" s="399"/>
      <c r="B1" s="400">
        <v>2023.0</v>
      </c>
      <c r="C1" s="401" t="str">
        <f>'25.04'!H419</f>
        <v>#REF!</v>
      </c>
      <c r="D1" s="402"/>
      <c r="E1" s="402"/>
      <c r="F1" s="403"/>
      <c r="G1" s="403"/>
      <c r="H1" s="403"/>
      <c r="I1" s="403"/>
      <c r="J1" s="403"/>
      <c r="K1" s="403"/>
      <c r="L1" s="403"/>
    </row>
    <row r="2" ht="37.5" customHeight="1">
      <c r="A2" s="399"/>
      <c r="B2" s="404" t="s">
        <v>179</v>
      </c>
      <c r="C2" s="405" t="s">
        <v>158</v>
      </c>
      <c r="D2" s="406" t="s">
        <v>159</v>
      </c>
      <c r="E2" s="407" t="s">
        <v>160</v>
      </c>
      <c r="F2" s="408" t="s">
        <v>161</v>
      </c>
      <c r="G2" s="409" t="s">
        <v>120</v>
      </c>
      <c r="H2" s="410" t="s">
        <v>180</v>
      </c>
      <c r="I2" s="411"/>
      <c r="J2" s="403"/>
      <c r="K2" s="403"/>
      <c r="L2" s="403"/>
    </row>
    <row r="3" ht="37.5" customHeight="1">
      <c r="A3" s="399"/>
      <c r="B3" s="385" t="s">
        <v>154</v>
      </c>
      <c r="C3" s="412">
        <v>2.1558531E7</v>
      </c>
      <c r="D3" s="413">
        <v>2.07E7</v>
      </c>
      <c r="E3" s="413">
        <v>880.0</v>
      </c>
      <c r="F3" s="413">
        <v>-4.1027927E7</v>
      </c>
      <c r="G3" s="413">
        <v>2.5182248E7</v>
      </c>
      <c r="H3" s="414">
        <f>sum(C3:G3)</f>
        <v>26413732</v>
      </c>
      <c r="I3" s="415"/>
      <c r="J3" s="401"/>
      <c r="K3" s="401"/>
      <c r="L3" s="401"/>
    </row>
    <row r="4" ht="37.5" customHeight="1">
      <c r="A4" s="399"/>
      <c r="B4" s="385" t="s">
        <v>155</v>
      </c>
      <c r="C4" s="416"/>
      <c r="D4" s="417"/>
      <c r="E4" s="417"/>
      <c r="F4" s="417"/>
      <c r="G4" s="417"/>
      <c r="H4" s="414"/>
      <c r="I4" s="415"/>
      <c r="J4" s="401"/>
      <c r="L4" s="401"/>
    </row>
    <row r="5" ht="37.5" customHeight="1">
      <c r="A5" s="399"/>
      <c r="B5" s="385" t="s">
        <v>156</v>
      </c>
      <c r="C5" s="416"/>
      <c r="D5" s="418"/>
      <c r="E5" s="418"/>
      <c r="F5" s="418"/>
      <c r="G5" s="418"/>
      <c r="H5" s="414"/>
      <c r="I5" s="415"/>
      <c r="J5" s="401"/>
      <c r="L5" s="401"/>
    </row>
    <row r="6" ht="37.5" customHeight="1">
      <c r="A6" s="399"/>
      <c r="B6" s="385" t="s">
        <v>162</v>
      </c>
      <c r="C6" s="419"/>
      <c r="D6" s="418"/>
      <c r="E6" s="418"/>
      <c r="F6" s="418"/>
      <c r="G6" s="418"/>
      <c r="H6" s="414"/>
      <c r="I6" s="415"/>
      <c r="J6" s="401"/>
      <c r="L6" s="401"/>
    </row>
    <row r="7" ht="37.5" customHeight="1">
      <c r="A7" s="399"/>
      <c r="B7" s="385" t="s">
        <v>168</v>
      </c>
      <c r="C7" s="419"/>
      <c r="D7" s="417"/>
      <c r="E7" s="418"/>
      <c r="F7" s="418"/>
      <c r="G7" s="418"/>
      <c r="H7" s="414"/>
      <c r="I7" s="415"/>
      <c r="J7" s="401"/>
      <c r="L7" s="401"/>
    </row>
    <row r="8" ht="37.5" customHeight="1">
      <c r="A8" s="399"/>
      <c r="B8" s="385" t="s">
        <v>169</v>
      </c>
      <c r="C8" s="420"/>
      <c r="D8" s="421"/>
      <c r="E8" s="422"/>
      <c r="F8" s="422"/>
      <c r="G8" s="422"/>
      <c r="H8" s="414"/>
      <c r="I8" s="415"/>
      <c r="J8" s="401"/>
      <c r="L8" s="401"/>
    </row>
    <row r="9" ht="37.5" customHeight="1">
      <c r="A9" s="399"/>
      <c r="B9" s="385" t="s">
        <v>170</v>
      </c>
      <c r="C9" s="423"/>
      <c r="D9" s="423"/>
      <c r="E9" s="423"/>
      <c r="F9" s="423"/>
      <c r="G9" s="423"/>
      <c r="H9" s="414"/>
      <c r="I9" s="415"/>
      <c r="J9" s="401"/>
      <c r="L9" s="401"/>
    </row>
    <row r="10" ht="37.5" customHeight="1">
      <c r="A10" s="399"/>
      <c r="B10" s="385" t="s">
        <v>171</v>
      </c>
      <c r="C10" s="423"/>
      <c r="D10" s="423"/>
      <c r="E10" s="423"/>
      <c r="F10" s="423"/>
      <c r="G10" s="423"/>
      <c r="H10" s="414"/>
      <c r="I10" s="415"/>
      <c r="J10" s="401"/>
      <c r="L10" s="401"/>
    </row>
    <row r="11" ht="37.5" customHeight="1">
      <c r="A11" s="399"/>
      <c r="B11" s="385" t="s">
        <v>172</v>
      </c>
      <c r="C11" s="423"/>
      <c r="D11" s="423"/>
      <c r="E11" s="423"/>
      <c r="F11" s="423"/>
      <c r="G11" s="423"/>
      <c r="H11" s="414"/>
      <c r="I11" s="415"/>
      <c r="J11" s="401"/>
      <c r="L11" s="401"/>
    </row>
    <row r="12" ht="37.5" customHeight="1">
      <c r="A12" s="399"/>
      <c r="B12" s="385" t="s">
        <v>173</v>
      </c>
      <c r="C12" s="423"/>
      <c r="D12" s="423"/>
      <c r="E12" s="423"/>
      <c r="F12" s="423"/>
      <c r="G12" s="423"/>
      <c r="H12" s="414"/>
      <c r="I12" s="415"/>
      <c r="J12" s="401"/>
      <c r="K12" s="401"/>
      <c r="L12" s="401"/>
    </row>
    <row r="13" ht="37.5" customHeight="1">
      <c r="A13" s="399"/>
      <c r="B13" s="385" t="s">
        <v>174</v>
      </c>
      <c r="C13" s="423"/>
      <c r="D13" s="423"/>
      <c r="E13" s="423"/>
      <c r="F13" s="423"/>
      <c r="G13" s="423"/>
      <c r="H13" s="414"/>
      <c r="I13" s="415"/>
      <c r="J13" s="401"/>
      <c r="K13" s="401"/>
      <c r="L13" s="401"/>
    </row>
    <row r="14" ht="37.5" customHeight="1">
      <c r="A14" s="399"/>
      <c r="B14" s="385" t="s">
        <v>178</v>
      </c>
      <c r="C14" s="423"/>
      <c r="D14" s="423"/>
      <c r="E14" s="423"/>
      <c r="F14" s="423"/>
      <c r="G14" s="423"/>
      <c r="H14" s="414"/>
      <c r="I14" s="415"/>
      <c r="J14" s="401"/>
      <c r="K14" s="401"/>
      <c r="L14" s="401"/>
    </row>
    <row r="15" ht="37.5" customHeight="1">
      <c r="A15" s="399"/>
      <c r="B15" s="424" t="s">
        <v>131</v>
      </c>
      <c r="C15" s="425">
        <f t="shared" ref="C15:H15" si="1">sum(C3:C14)/12</f>
        <v>1796544.25</v>
      </c>
      <c r="D15" s="425">
        <f t="shared" si="1"/>
        <v>1725000</v>
      </c>
      <c r="E15" s="425">
        <f t="shared" si="1"/>
        <v>73.33333333</v>
      </c>
      <c r="F15" s="425">
        <f t="shared" si="1"/>
        <v>-3418993.917</v>
      </c>
      <c r="G15" s="425">
        <f t="shared" si="1"/>
        <v>2098520.667</v>
      </c>
      <c r="H15" s="425">
        <f t="shared" si="1"/>
        <v>2201144.333</v>
      </c>
      <c r="I15" s="426"/>
      <c r="J15" s="403"/>
      <c r="K15" s="403"/>
      <c r="L15" s="403"/>
    </row>
    <row r="16" ht="37.5" customHeight="1">
      <c r="A16" s="399"/>
      <c r="B16" s="427"/>
      <c r="C16" s="401"/>
      <c r="D16" s="401"/>
      <c r="E16" s="401"/>
      <c r="F16" s="401"/>
      <c r="G16" s="401"/>
      <c r="H16" s="428"/>
      <c r="I16" s="403"/>
      <c r="J16" s="403"/>
      <c r="K16" s="403"/>
      <c r="L16" s="403"/>
    </row>
    <row r="17" ht="37.5" customHeight="1">
      <c r="A17" s="399"/>
      <c r="B17" s="273" t="s">
        <v>147</v>
      </c>
      <c r="C17" s="429" t="s">
        <v>58</v>
      </c>
      <c r="D17" s="430" t="s">
        <v>64</v>
      </c>
      <c r="E17" s="430" t="s">
        <v>70</v>
      </c>
      <c r="F17" s="430" t="s">
        <v>76</v>
      </c>
      <c r="G17" s="430" t="s">
        <v>82</v>
      </c>
      <c r="H17" s="431" t="s">
        <v>118</v>
      </c>
      <c r="I17" s="432"/>
      <c r="J17" s="432"/>
      <c r="K17" s="432"/>
      <c r="L17" s="432"/>
    </row>
    <row r="18" ht="37.5" customHeight="1">
      <c r="A18" s="399"/>
      <c r="B18" s="385" t="s">
        <v>154</v>
      </c>
      <c r="C18" s="433">
        <v>1.0155E7</v>
      </c>
      <c r="D18" s="434">
        <v>515000.0</v>
      </c>
      <c r="E18" s="434">
        <v>4679000.0</v>
      </c>
      <c r="F18" s="434">
        <v>0.0</v>
      </c>
      <c r="G18" s="434">
        <v>2.3138163E7</v>
      </c>
      <c r="H18" s="434">
        <v>0.0</v>
      </c>
      <c r="I18" s="428"/>
      <c r="J18" s="428"/>
      <c r="K18" s="428"/>
      <c r="L18" s="428"/>
    </row>
    <row r="19" ht="37.5" customHeight="1">
      <c r="A19" s="399"/>
      <c r="B19" s="385" t="s">
        <v>155</v>
      </c>
      <c r="C19" s="435" t="str">
        <f t="shared" ref="C19:H19" si="2">$H4*#REF!</f>
        <v>#REF!</v>
      </c>
      <c r="D19" s="436" t="str">
        <f t="shared" si="2"/>
        <v>#REF!</v>
      </c>
      <c r="E19" s="436" t="str">
        <f t="shared" si="2"/>
        <v>#REF!</v>
      </c>
      <c r="F19" s="436" t="str">
        <f t="shared" si="2"/>
        <v>#REF!</v>
      </c>
      <c r="G19" s="436" t="str">
        <f t="shared" si="2"/>
        <v>#REF!</v>
      </c>
      <c r="H19" s="436" t="str">
        <f t="shared" si="2"/>
        <v>#REF!</v>
      </c>
      <c r="I19" s="428"/>
      <c r="J19" s="428"/>
      <c r="L19" s="428"/>
    </row>
    <row r="20" ht="37.5" customHeight="1">
      <c r="A20" s="399"/>
      <c r="B20" s="385" t="s">
        <v>156</v>
      </c>
      <c r="C20" s="435" t="str">
        <f t="shared" ref="C20:H20" si="3">$H5*#REF!</f>
        <v>#REF!</v>
      </c>
      <c r="D20" s="436" t="str">
        <f t="shared" si="3"/>
        <v>#REF!</v>
      </c>
      <c r="E20" s="436" t="str">
        <f t="shared" si="3"/>
        <v>#REF!</v>
      </c>
      <c r="F20" s="436" t="str">
        <f t="shared" si="3"/>
        <v>#REF!</v>
      </c>
      <c r="G20" s="436" t="str">
        <f t="shared" si="3"/>
        <v>#REF!</v>
      </c>
      <c r="H20" s="436" t="str">
        <f t="shared" si="3"/>
        <v>#REF!</v>
      </c>
      <c r="I20" s="428"/>
      <c r="J20" s="428"/>
      <c r="L20" s="428"/>
    </row>
    <row r="21" ht="37.5" customHeight="1">
      <c r="A21" s="399"/>
      <c r="B21" s="385" t="s">
        <v>162</v>
      </c>
      <c r="C21" s="435" t="str">
        <f t="shared" ref="C21:H21" si="4">$H6*#REF!</f>
        <v>#REF!</v>
      </c>
      <c r="D21" s="436" t="str">
        <f t="shared" si="4"/>
        <v>#REF!</v>
      </c>
      <c r="E21" s="436" t="str">
        <f t="shared" si="4"/>
        <v>#REF!</v>
      </c>
      <c r="F21" s="436" t="str">
        <f t="shared" si="4"/>
        <v>#REF!</v>
      </c>
      <c r="G21" s="436" t="str">
        <f t="shared" si="4"/>
        <v>#REF!</v>
      </c>
      <c r="H21" s="436" t="str">
        <f t="shared" si="4"/>
        <v>#REF!</v>
      </c>
      <c r="I21" s="428"/>
      <c r="J21" s="428"/>
      <c r="L21" s="428"/>
    </row>
    <row r="22" ht="37.5" customHeight="1">
      <c r="A22" s="399"/>
      <c r="B22" s="385" t="s">
        <v>168</v>
      </c>
      <c r="C22" s="435" t="str">
        <f t="shared" ref="C22:H22" si="5">$H7*#REF!</f>
        <v>#REF!</v>
      </c>
      <c r="D22" s="436" t="str">
        <f t="shared" si="5"/>
        <v>#REF!</v>
      </c>
      <c r="E22" s="436" t="str">
        <f t="shared" si="5"/>
        <v>#REF!</v>
      </c>
      <c r="F22" s="436" t="str">
        <f t="shared" si="5"/>
        <v>#REF!</v>
      </c>
      <c r="G22" s="436" t="str">
        <f t="shared" si="5"/>
        <v>#REF!</v>
      </c>
      <c r="H22" s="436" t="str">
        <f t="shared" si="5"/>
        <v>#REF!</v>
      </c>
      <c r="I22" s="428"/>
      <c r="J22" s="428"/>
      <c r="L22" s="428"/>
    </row>
    <row r="23" ht="37.5" customHeight="1">
      <c r="A23" s="399"/>
      <c r="B23" s="385" t="s">
        <v>169</v>
      </c>
      <c r="C23" s="435" t="str">
        <f t="shared" ref="C23:H23" si="6">$H8*#REF!</f>
        <v>#REF!</v>
      </c>
      <c r="D23" s="436" t="str">
        <f t="shared" si="6"/>
        <v>#REF!</v>
      </c>
      <c r="E23" s="436" t="str">
        <f t="shared" si="6"/>
        <v>#REF!</v>
      </c>
      <c r="F23" s="436" t="str">
        <f t="shared" si="6"/>
        <v>#REF!</v>
      </c>
      <c r="G23" s="436" t="str">
        <f t="shared" si="6"/>
        <v>#REF!</v>
      </c>
      <c r="H23" s="436" t="str">
        <f t="shared" si="6"/>
        <v>#REF!</v>
      </c>
      <c r="I23" s="428"/>
      <c r="J23" s="428"/>
      <c r="L23" s="428"/>
    </row>
    <row r="24" ht="37.5" customHeight="1">
      <c r="A24" s="399"/>
      <c r="B24" s="385" t="s">
        <v>170</v>
      </c>
      <c r="C24" s="435" t="str">
        <f t="shared" ref="C24:H24" si="7">$H9*#REF!</f>
        <v>#REF!</v>
      </c>
      <c r="D24" s="436" t="str">
        <f t="shared" si="7"/>
        <v>#REF!</v>
      </c>
      <c r="E24" s="436" t="str">
        <f t="shared" si="7"/>
        <v>#REF!</v>
      </c>
      <c r="F24" s="436" t="str">
        <f t="shared" si="7"/>
        <v>#REF!</v>
      </c>
      <c r="G24" s="436" t="str">
        <f t="shared" si="7"/>
        <v>#REF!</v>
      </c>
      <c r="H24" s="436" t="str">
        <f t="shared" si="7"/>
        <v>#REF!</v>
      </c>
      <c r="I24" s="428"/>
      <c r="J24" s="428"/>
      <c r="L24" s="428"/>
    </row>
    <row r="25" ht="37.5" customHeight="1">
      <c r="A25" s="399"/>
      <c r="B25" s="385" t="s">
        <v>171</v>
      </c>
      <c r="C25" s="435" t="str">
        <f t="shared" ref="C25:H25" si="8">$H10*#REF!</f>
        <v>#REF!</v>
      </c>
      <c r="D25" s="436" t="str">
        <f t="shared" si="8"/>
        <v>#REF!</v>
      </c>
      <c r="E25" s="436" t="str">
        <f t="shared" si="8"/>
        <v>#REF!</v>
      </c>
      <c r="F25" s="436" t="str">
        <f t="shared" si="8"/>
        <v>#REF!</v>
      </c>
      <c r="G25" s="436" t="str">
        <f t="shared" si="8"/>
        <v>#REF!</v>
      </c>
      <c r="H25" s="436" t="str">
        <f t="shared" si="8"/>
        <v>#REF!</v>
      </c>
      <c r="I25" s="428"/>
      <c r="J25" s="428"/>
      <c r="L25" s="428"/>
    </row>
    <row r="26" ht="37.5" customHeight="1">
      <c r="A26" s="399"/>
      <c r="B26" s="385" t="s">
        <v>172</v>
      </c>
      <c r="C26" s="435" t="str">
        <f t="shared" ref="C26:H26" si="9">$H11*#REF!</f>
        <v>#REF!</v>
      </c>
      <c r="D26" s="436" t="str">
        <f t="shared" si="9"/>
        <v>#REF!</v>
      </c>
      <c r="E26" s="436" t="str">
        <f t="shared" si="9"/>
        <v>#REF!</v>
      </c>
      <c r="F26" s="436" t="str">
        <f t="shared" si="9"/>
        <v>#REF!</v>
      </c>
      <c r="G26" s="436" t="str">
        <f t="shared" si="9"/>
        <v>#REF!</v>
      </c>
      <c r="H26" s="436" t="str">
        <f t="shared" si="9"/>
        <v>#REF!</v>
      </c>
      <c r="I26" s="428"/>
      <c r="J26" s="428"/>
      <c r="K26" s="428"/>
      <c r="L26" s="428"/>
    </row>
    <row r="27" ht="37.5" customHeight="1">
      <c r="A27" s="399"/>
      <c r="B27" s="385" t="s">
        <v>173</v>
      </c>
      <c r="C27" s="435" t="str">
        <f t="shared" ref="C27:H27" si="10">$H12*#REF!</f>
        <v>#REF!</v>
      </c>
      <c r="D27" s="436" t="str">
        <f t="shared" si="10"/>
        <v>#REF!</v>
      </c>
      <c r="E27" s="436" t="str">
        <f t="shared" si="10"/>
        <v>#REF!</v>
      </c>
      <c r="F27" s="436" t="str">
        <f t="shared" si="10"/>
        <v>#REF!</v>
      </c>
      <c r="G27" s="436" t="str">
        <f t="shared" si="10"/>
        <v>#REF!</v>
      </c>
      <c r="H27" s="436" t="str">
        <f t="shared" si="10"/>
        <v>#REF!</v>
      </c>
      <c r="I27" s="428"/>
      <c r="J27" s="428"/>
      <c r="K27" s="428"/>
      <c r="L27" s="428"/>
    </row>
    <row r="28" ht="37.5" customHeight="1">
      <c r="A28" s="399"/>
      <c r="B28" s="385" t="s">
        <v>174</v>
      </c>
      <c r="C28" s="435" t="str">
        <f t="shared" ref="C28:H28" si="11">$H13*#REF!</f>
        <v>#REF!</v>
      </c>
      <c r="D28" s="436" t="str">
        <f t="shared" si="11"/>
        <v>#REF!</v>
      </c>
      <c r="E28" s="436" t="str">
        <f t="shared" si="11"/>
        <v>#REF!</v>
      </c>
      <c r="F28" s="436" t="str">
        <f t="shared" si="11"/>
        <v>#REF!</v>
      </c>
      <c r="G28" s="436" t="str">
        <f t="shared" si="11"/>
        <v>#REF!</v>
      </c>
      <c r="H28" s="436" t="str">
        <f t="shared" si="11"/>
        <v>#REF!</v>
      </c>
      <c r="I28" s="428"/>
      <c r="J28" s="428"/>
      <c r="K28" s="428"/>
      <c r="L28" s="428"/>
    </row>
    <row r="29" ht="37.5" customHeight="1">
      <c r="A29" s="399"/>
      <c r="B29" s="385" t="s">
        <v>178</v>
      </c>
      <c r="C29" s="435" t="str">
        <f t="shared" ref="C29:H29" si="12">$H14*#REF!</f>
        <v>#REF!</v>
      </c>
      <c r="D29" s="436" t="str">
        <f t="shared" si="12"/>
        <v>#REF!</v>
      </c>
      <c r="E29" s="436" t="str">
        <f t="shared" si="12"/>
        <v>#REF!</v>
      </c>
      <c r="F29" s="436" t="str">
        <f t="shared" si="12"/>
        <v>#REF!</v>
      </c>
      <c r="G29" s="436" t="str">
        <f t="shared" si="12"/>
        <v>#REF!</v>
      </c>
      <c r="H29" s="436" t="str">
        <f t="shared" si="12"/>
        <v>#REF!</v>
      </c>
      <c r="I29" s="428"/>
      <c r="J29" s="428"/>
      <c r="K29" s="428"/>
      <c r="L29" s="428"/>
    </row>
    <row r="30" ht="37.5" customHeight="1">
      <c r="A30" s="399"/>
      <c r="B30" s="333"/>
      <c r="C30" s="334" t="str">
        <f t="shared" ref="C30:H30" si="13">SUM(C18:C29)</f>
        <v>#REF!</v>
      </c>
      <c r="D30" s="334" t="str">
        <f t="shared" si="13"/>
        <v>#REF!</v>
      </c>
      <c r="E30" s="334" t="str">
        <f t="shared" si="13"/>
        <v>#REF!</v>
      </c>
      <c r="F30" s="334" t="str">
        <f t="shared" si="13"/>
        <v>#REF!</v>
      </c>
      <c r="G30" s="334" t="str">
        <f t="shared" si="13"/>
        <v>#REF!</v>
      </c>
      <c r="H30" s="335" t="str">
        <f t="shared" si="13"/>
        <v>#REF!</v>
      </c>
      <c r="I30" s="403" t="str">
        <f>SUM(C30:H30)</f>
        <v>#REF!</v>
      </c>
      <c r="J30" s="403"/>
      <c r="K30" s="403"/>
      <c r="L30" s="403"/>
    </row>
    <row r="31" ht="37.5" customHeight="1">
      <c r="A31" s="399"/>
      <c r="B31" s="437"/>
      <c r="C31" s="438"/>
      <c r="D31" s="438"/>
      <c r="E31" s="438"/>
      <c r="F31" s="438"/>
      <c r="G31" s="438"/>
      <c r="H31" s="438"/>
      <c r="I31" s="403"/>
      <c r="J31" s="403"/>
      <c r="K31" s="403"/>
      <c r="L31" s="403"/>
    </row>
  </sheetData>
  <mergeCells count="2">
    <mergeCell ref="K3:K11"/>
    <mergeCell ref="K18:K25"/>
  </mergeCells>
  <dataValidations>
    <dataValidation type="list" allowBlank="1" sqref="B3:B14 B18:B29">
      <formula1>"1,2,3,4,5,6,7,8,9,10,11,12"</formula1>
    </dataValidation>
    <dataValidation type="list" allowBlank="1" showErrorMessage="1" sqref="C17:H17">
      <formula1>"Education,Enjoy,For give,Health,Living,Savings"</formula1>
    </dataValidation>
    <dataValidation type="list" allowBlank="1" sqref="C2:G2 I2">
      <formula1>"Private,Salary,Interest,Togohub,N&amp;M studio"</formula1>
    </dataValidation>
  </dataValidations>
  <drawing r:id="rId1"/>
</worksheet>
</file>