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.06" sheetId="1" r:id="rId5"/>
    <sheet state="visible" name="Spending 25.06" sheetId="2" r:id="rId6"/>
    <sheet state="visible" name="Money plan yearly" sheetId="3" r:id="rId7"/>
  </sheets>
  <definedNames>
    <definedName hidden="1" localSheetId="0" name="_xlnm._FilterDatabase">'25.06'!$A$6:$J$17</definedName>
  </definedNames>
  <calcPr/>
</workbook>
</file>

<file path=xl/sharedStrings.xml><?xml version="1.0" encoding="utf-8"?>
<sst xmlns="http://schemas.openxmlformats.org/spreadsheetml/2006/main" count="362" uniqueCount="189">
  <si>
    <t xml:space="preserve"> </t>
  </si>
  <si>
    <t>this month is</t>
  </si>
  <si>
    <t>May</t>
  </si>
  <si>
    <t>2025</t>
  </si>
  <si>
    <t>How much money do you have coming in? and spend out?</t>
  </si>
  <si>
    <t>( + )</t>
  </si>
  <si>
    <t>(-)</t>
  </si>
  <si>
    <t>Month</t>
  </si>
  <si>
    <t>Date</t>
  </si>
  <si>
    <t>SOURCE</t>
  </si>
  <si>
    <t>Name</t>
  </si>
  <si>
    <t>Account</t>
  </si>
  <si>
    <t>Fund</t>
  </si>
  <si>
    <t>AMOUNT</t>
  </si>
  <si>
    <t>Trả commission</t>
  </si>
  <si>
    <t>Vietcombank</t>
  </si>
  <si>
    <t>Togohub management</t>
  </si>
  <si>
    <t>T. Mainternance</t>
  </si>
  <si>
    <t>nước</t>
  </si>
  <si>
    <t>T. Water</t>
  </si>
  <si>
    <t>điện</t>
  </si>
  <si>
    <t>T. Electricity</t>
  </si>
  <si>
    <t>trả Phương Anh cọc nhà</t>
  </si>
  <si>
    <t>House rental money</t>
  </si>
  <si>
    <t>Lợi trả tiền điện nước</t>
  </si>
  <si>
    <t>Lợi trả tiền nhà</t>
  </si>
  <si>
    <t>Nhận cọc nhà</t>
  </si>
  <si>
    <t>Tiền thuê nhà</t>
  </si>
  <si>
    <t>TOTAL (A)</t>
  </si>
  <si>
    <t>How much money do you have going out?</t>
  </si>
  <si>
    <t>How much money do you have available to you?</t>
  </si>
  <si>
    <t>-</t>
  </si>
  <si>
    <t>TOTAL (B)</t>
  </si>
  <si>
    <t xml:space="preserve"> = </t>
  </si>
  <si>
    <t>TOTAL (C)</t>
  </si>
  <si>
    <t>How much money do you want to save</t>
  </si>
  <si>
    <t>TOTAL (D)</t>
  </si>
  <si>
    <t>What for?</t>
  </si>
  <si>
    <t>How much should you spend?</t>
  </si>
  <si>
    <t>TOTAL (E) (PER MONTH)</t>
  </si>
  <si>
    <t>TOTAL (E)</t>
  </si>
  <si>
    <t>/</t>
  </si>
  <si>
    <t>No OF WEEKS</t>
  </si>
  <si>
    <t>TOTAL  (PER WEEK)</t>
  </si>
  <si>
    <t>NOTES</t>
  </si>
  <si>
    <t>Chi tiêu thực tế</t>
  </si>
  <si>
    <t>Cash</t>
  </si>
  <si>
    <t>BIDV</t>
  </si>
  <si>
    <t>Vp bank Lady</t>
  </si>
  <si>
    <t>Moca</t>
  </si>
  <si>
    <t>Momo</t>
  </si>
  <si>
    <t>Zalo</t>
  </si>
  <si>
    <t>Saving</t>
  </si>
  <si>
    <t>Loan</t>
  </si>
  <si>
    <t>Total out</t>
  </si>
  <si>
    <t>%</t>
  </si>
  <si>
    <t>Total in</t>
  </si>
  <si>
    <t>Education</t>
  </si>
  <si>
    <t>Education fee</t>
  </si>
  <si>
    <t>Extra Education fee</t>
  </si>
  <si>
    <t>Talent Education fee</t>
  </si>
  <si>
    <t>Books</t>
  </si>
  <si>
    <t>Stationery</t>
  </si>
  <si>
    <t>Enjoy</t>
  </si>
  <si>
    <t>Travel</t>
  </si>
  <si>
    <t>Café</t>
  </si>
  <si>
    <t>Restaurant</t>
  </si>
  <si>
    <t>Sightseeing</t>
  </si>
  <si>
    <t>Exhibition</t>
  </si>
  <si>
    <t>Museum</t>
  </si>
  <si>
    <t>For give</t>
  </si>
  <si>
    <t>Funeral</t>
  </si>
  <si>
    <t>Wedding</t>
  </si>
  <si>
    <t>Gift</t>
  </si>
  <si>
    <t>Charity</t>
  </si>
  <si>
    <t>Spirituality</t>
  </si>
  <si>
    <t>Health</t>
  </si>
  <si>
    <t>Medical exam</t>
  </si>
  <si>
    <t>Tablets</t>
  </si>
  <si>
    <t>Body care</t>
  </si>
  <si>
    <t>Cosmetic</t>
  </si>
  <si>
    <t>Medical Insurrance</t>
  </si>
  <si>
    <t>Living</t>
  </si>
  <si>
    <t>Eating</t>
  </si>
  <si>
    <t>a</t>
  </si>
  <si>
    <t>Go Market</t>
  </si>
  <si>
    <t>b</t>
  </si>
  <si>
    <t>Breakfast</t>
  </si>
  <si>
    <t>c</t>
  </si>
  <si>
    <t>Extra meal</t>
  </si>
  <si>
    <t>Wearing</t>
  </si>
  <si>
    <t>d</t>
  </si>
  <si>
    <t>Nghĩa</t>
  </si>
  <si>
    <t>e</t>
  </si>
  <si>
    <t>Mai</t>
  </si>
  <si>
    <t>g</t>
  </si>
  <si>
    <t>Totto</t>
  </si>
  <si>
    <t>h</t>
  </si>
  <si>
    <t>Lego</t>
  </si>
  <si>
    <t>Information</t>
  </si>
  <si>
    <t>i</t>
  </si>
  <si>
    <t>Phone</t>
  </si>
  <si>
    <t>j</t>
  </si>
  <si>
    <t>Internet</t>
  </si>
  <si>
    <t>k</t>
  </si>
  <si>
    <t>Spotify</t>
  </si>
  <si>
    <t>l</t>
  </si>
  <si>
    <t>Banking information</t>
  </si>
  <si>
    <t>Transportation</t>
  </si>
  <si>
    <t>m</t>
  </si>
  <si>
    <t>Fuel</t>
  </si>
  <si>
    <t>n</t>
  </si>
  <si>
    <t>Motorcycle maintenance</t>
  </si>
  <si>
    <t>o</t>
  </si>
  <si>
    <t>Parking</t>
  </si>
  <si>
    <t>Housing maintenance</t>
  </si>
  <si>
    <t>p</t>
  </si>
  <si>
    <t>Cleaning home</t>
  </si>
  <si>
    <t>q</t>
  </si>
  <si>
    <t>House shopping</t>
  </si>
  <si>
    <t>r</t>
  </si>
  <si>
    <t>House repair</t>
  </si>
  <si>
    <t>Living Expense</t>
  </si>
  <si>
    <t>s</t>
  </si>
  <si>
    <t>Electricity</t>
  </si>
  <si>
    <t>t</t>
  </si>
  <si>
    <t>Water</t>
  </si>
  <si>
    <t>Savings</t>
  </si>
  <si>
    <t>Life Insurance</t>
  </si>
  <si>
    <t>N&amp;M studio</t>
  </si>
  <si>
    <t>Design</t>
  </si>
  <si>
    <t>Construction</t>
  </si>
  <si>
    <t>T. Cleaning</t>
  </si>
  <si>
    <t>T. shopping</t>
  </si>
  <si>
    <t>T. Exchange</t>
  </si>
  <si>
    <t>T. Tax &amp; Social</t>
  </si>
  <si>
    <t>T. Renovation</t>
  </si>
  <si>
    <t>Total</t>
  </si>
  <si>
    <t>Accounts</t>
  </si>
  <si>
    <t>Sổ tiết kiệm</t>
  </si>
  <si>
    <t>Stt</t>
  </si>
  <si>
    <t>Số tiền</t>
  </si>
  <si>
    <t>Bắt đầu</t>
  </si>
  <si>
    <t>Kết thúc</t>
  </si>
  <si>
    <t>Số tháng</t>
  </si>
  <si>
    <t>Tỉ lệ lãi</t>
  </si>
  <si>
    <t>Cuối kì</t>
  </si>
  <si>
    <t>Balance</t>
  </si>
  <si>
    <t>In</t>
  </si>
  <si>
    <t>Out</t>
  </si>
  <si>
    <t>?</t>
  </si>
  <si>
    <t>Change</t>
  </si>
  <si>
    <t>Last</t>
  </si>
  <si>
    <t>Funds</t>
  </si>
  <si>
    <t>Totto Fund</t>
  </si>
  <si>
    <t>Lego Fund</t>
  </si>
  <si>
    <t>Papa fund</t>
  </si>
  <si>
    <t>Nghia fund</t>
  </si>
  <si>
    <t>ID student</t>
  </si>
  <si>
    <t>A4 Class</t>
  </si>
  <si>
    <t>1</t>
  </si>
  <si>
    <t>2</t>
  </si>
  <si>
    <t>3</t>
  </si>
  <si>
    <t>Sources</t>
  </si>
  <si>
    <t>Private</t>
  </si>
  <si>
    <t>Salary</t>
  </si>
  <si>
    <t>Interest</t>
  </si>
  <si>
    <t>Togohub</t>
  </si>
  <si>
    <t>4</t>
  </si>
  <si>
    <t>Family</t>
  </si>
  <si>
    <t>UAD</t>
  </si>
  <si>
    <t>N&amp;M Salary</t>
  </si>
  <si>
    <t>Saving interest</t>
  </si>
  <si>
    <t>Banking interest</t>
  </si>
  <si>
    <t>A4 Class Parents</t>
  </si>
  <si>
    <t>Trash</t>
  </si>
  <si>
    <t>5</t>
  </si>
  <si>
    <t>6</t>
  </si>
  <si>
    <t>7</t>
  </si>
  <si>
    <t>8</t>
  </si>
  <si>
    <t>9</t>
  </si>
  <si>
    <t>10</t>
  </si>
  <si>
    <t>11</t>
  </si>
  <si>
    <t>Điều kiện</t>
  </si>
  <si>
    <t>Thực tế</t>
  </si>
  <si>
    <t>Chênh lệch</t>
  </si>
  <si>
    <t>12</t>
  </si>
  <si>
    <t>Income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</si>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</sst>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36">
    <font>
      <sz val="10.0"/>
      <color rgb="FF000000"/>
      <name val="Arial"/>
      <scheme val="minor"/>
    </font>
    <font>
      <color theme="1"/>
      <name val="Comfortaa"/>
    </font>
    <font>
      <color rgb="FFFFFFFF"/>
      <name val="Comfortaa"/>
    </font>
    <font>
      <b/>
      <sz val="14.0"/>
      <color rgb="FFFFFFFF"/>
      <name val="Comfortaa"/>
    </font>
    <font>
      <b/>
      <sz val="12.0"/>
      <color rgb="FF45818E"/>
      <name val="Comfortaa"/>
    </font>
    <font>
      <sz val="11.0"/>
      <color rgb="FFFFFFFF"/>
      <name val="Georgia"/>
    </font>
    <font>
      <b/>
      <color theme="0"/>
      <name val="Comfortaa"/>
    </font>
    <font>
      <b/>
      <color rgb="FFFFFFFF"/>
      <name val="Comfortaa"/>
    </font>
    <font/>
    <font>
      <b/>
      <sz val="10.0"/>
      <color rgb="FF45818E"/>
      <name val="Comfortaa"/>
    </font>
    <font>
      <b/>
      <sz val="12.0"/>
      <color rgb="FF000000"/>
      <name val="Comfortaa"/>
    </font>
    <font>
      <b/>
      <sz val="12.0"/>
      <color rgb="FFFFFFFF"/>
      <name val="Comfortaa"/>
    </font>
    <font>
      <color rgb="FF45818E"/>
      <name val="Comfortaa"/>
    </font>
    <font>
      <color theme="1"/>
      <name val="Arial"/>
    </font>
    <font>
      <color rgb="FF76A5AF"/>
      <name val="Comfortaa"/>
    </font>
    <font>
      <color rgb="FF000000"/>
      <name val="Comfortaa"/>
    </font>
    <font>
      <color rgb="FF134F5C"/>
      <name val="Comfortaa"/>
    </font>
    <font>
      <color rgb="FF000000"/>
      <name val="Arial"/>
    </font>
    <font>
      <b/>
      <sz val="12.0"/>
      <color rgb="FF76A5AF"/>
      <name val="Comfortaa"/>
    </font>
    <font>
      <sz val="10.0"/>
      <color rgb="FF45818E"/>
      <name val="Comfortaa"/>
    </font>
    <font>
      <sz val="11.0"/>
      <color rgb="FF000000"/>
      <name val="Georgia"/>
    </font>
    <font>
      <b/>
      <color theme="1"/>
      <name val="Comfortaa"/>
    </font>
    <font>
      <b/>
      <color rgb="FF000000"/>
      <name val="Comfortaa"/>
    </font>
    <font>
      <sz val="12.0"/>
      <color rgb="FFFFFFFF"/>
      <name val="Georgia"/>
    </font>
    <font>
      <color rgb="FFFFFFFF"/>
      <name val="Georgia"/>
    </font>
    <font>
      <color rgb="FF000000"/>
      <name val="Georgia"/>
    </font>
    <font>
      <b/>
      <color rgb="FF45818E"/>
      <name val="Comfortaa"/>
    </font>
    <font>
      <sz val="14.0"/>
      <color rgb="FFFFFFFF"/>
      <name val="Georgia"/>
    </font>
    <font>
      <color rgb="FFFFFFFF"/>
      <name val="Arial"/>
      <scheme val="minor"/>
    </font>
    <font>
      <color theme="1"/>
      <name val="Arial"/>
      <scheme val="minor"/>
    </font>
    <font>
      <b/>
      <color rgb="FF134F5C"/>
      <name val="Comfortaa"/>
    </font>
    <font>
      <sz val="10.0"/>
      <color rgb="FF134F5C"/>
      <name val="Comfortaa"/>
    </font>
    <font>
      <color rgb="FF0C343D"/>
      <name val="Comfortaa"/>
    </font>
    <font>
      <color rgb="FF134F5C"/>
      <name val="Arial"/>
      <scheme val="minor"/>
    </font>
    <font>
      <sz val="12.0"/>
      <color rgb="FFFFFFFF"/>
      <name val="Comfortaa"/>
    </font>
    <font>
      <color rgb="FF073763"/>
      <name val="Comfortaa"/>
    </font>
  </fonts>
  <fills count="22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F3F3F3"/>
        <bgColor rgb="FFF3F3F3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0C343D"/>
        <bgColor rgb="FF0C343D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</fills>
  <borders count="101">
    <border/>
    <border>
      <left style="medium">
        <color rgb="FFD0E0E3"/>
      </left>
      <right style="medium">
        <color rgb="FFD0E0E3"/>
      </right>
      <top style="medium">
        <color rgb="FFD0E0E3"/>
      </top>
      <bottom style="medium">
        <color rgb="FFD0E0E3"/>
      </bottom>
    </border>
    <border>
      <left style="medium">
        <color rgb="FFD0E0E3"/>
      </left>
      <top style="medium">
        <color rgb="FFD0E0E3"/>
      </top>
      <bottom style="medium">
        <color rgb="FFD0E0E3"/>
      </bottom>
    </border>
    <border>
      <right style="medium">
        <color rgb="FFD0E0E3"/>
      </right>
      <top style="medium">
        <color rgb="FFD0E0E3"/>
      </top>
      <bottom style="medium">
        <color rgb="FFD0E0E3"/>
      </bottom>
    </border>
    <border>
      <right style="dotted">
        <color rgb="FF76A5AF"/>
      </right>
    </border>
    <border>
      <left style="dotted">
        <color rgb="FF76A5AF"/>
      </left>
      <right style="dotted">
        <color rgb="FF76A5AF"/>
      </right>
    </border>
    <border>
      <left style="dotted">
        <color rgb="FF76A5AF"/>
      </left>
    </border>
    <border>
      <left style="thin">
        <color rgb="FF45818E"/>
      </left>
      <top style="dotted">
        <color rgb="FF45818E"/>
      </top>
      <bottom style="dotted">
        <color rgb="FF45818E"/>
      </bottom>
    </border>
    <border>
      <left style="thin">
        <color rgb="FF45818E"/>
      </left>
      <right style="thin">
        <color rgb="FF45818E"/>
      </right>
      <top style="dotted">
        <color rgb="FF45818E"/>
      </top>
      <bottom style="dotted">
        <color rgb="FF45818E"/>
      </bottom>
    </border>
    <border>
      <left style="thin">
        <color rgb="FF45818E"/>
      </left>
      <right style="thin">
        <color rgb="FF45818E"/>
      </right>
      <bottom style="dotted">
        <color rgb="FF45818E"/>
      </bottom>
    </border>
    <border>
      <right style="thin">
        <color rgb="FF45818E"/>
      </right>
      <bottom style="dotted">
        <color rgb="FF45818E"/>
      </bottom>
    </border>
    <border>
      <bottom style="dotted">
        <color rgb="FF45818E"/>
      </bottom>
    </border>
    <border>
      <left style="thin">
        <color rgb="FF073763"/>
      </left>
      <right style="thin">
        <color rgb="FF073763"/>
      </right>
      <top style="hair">
        <color rgb="FF073763"/>
      </top>
      <bottom style="hair">
        <color rgb="FF073763"/>
      </bottom>
    </border>
    <border>
      <top style="dotted">
        <color rgb="FF45818E"/>
      </top>
      <bottom style="dotted">
        <color rgb="FF45818E"/>
      </bottom>
    </border>
    <border>
      <bottom style="dotted">
        <color rgb="FFA2C4C9"/>
      </bottom>
    </border>
    <border>
      <left style="thin">
        <color rgb="FF45818E"/>
      </left>
      <top style="dotted">
        <color rgb="FF45818E"/>
      </top>
    </border>
    <border>
      <left style="thin">
        <color rgb="FF45818E"/>
      </left>
    </border>
    <border>
      <left style="thin">
        <color rgb="FF45818E"/>
      </left>
      <right style="thin">
        <color rgb="FF45818E"/>
      </right>
      <top style="dotted">
        <color rgb="FF45818E"/>
      </top>
    </border>
    <border>
      <left style="thin">
        <color rgb="FFA2C4C9"/>
      </left>
      <right style="thin">
        <color rgb="FFA2C4C9"/>
      </right>
      <bottom style="thin">
        <color rgb="FFA2C4C9"/>
      </bottom>
    </border>
    <border>
      <bottom style="dotted">
        <color rgb="FF76A5AF"/>
      </bottom>
    </border>
    <border>
      <top style="dotted">
        <color rgb="FF76A5AF"/>
      </top>
      <bottom style="dotted">
        <color rgb="FF76A5AF"/>
      </bottom>
    </border>
    <border>
      <top style="dotted">
        <color rgb="FF76A5AF"/>
      </top>
    </border>
    <border>
      <top style="medium">
        <color rgb="FFD0E0E3"/>
      </top>
      <bottom style="medium">
        <color rgb="FFD0E0E3"/>
      </bottom>
    </border>
    <border>
      <left style="medium">
        <color rgb="FFFFFFFF"/>
      </left>
      <right style="thin">
        <color rgb="FFFFFFFF"/>
      </right>
      <top style="medium">
        <color rgb="FFFFFFFF"/>
      </top>
    </border>
    <border>
      <left style="thin">
        <color rgb="FFFFFFFF"/>
      </left>
      <right style="thin">
        <color rgb="FFFFFFFF"/>
      </right>
      <top style="medium">
        <color rgb="FFFFFFFF"/>
      </top>
    </border>
    <border>
      <left style="thin">
        <color rgb="FFFFFFFF"/>
      </left>
      <right style="medium">
        <color rgb="FFFFFFFF"/>
      </right>
      <top style="medium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medium">
        <color rgb="FFFFFFFF"/>
      </right>
    </border>
    <border>
      <left style="medium">
        <color rgb="FFFFFFFF"/>
      </left>
      <right style="thin">
        <color rgb="FFFFFFFF"/>
      </right>
      <top style="thick">
        <color rgb="FFFFFFFF"/>
      </top>
      <bottom style="hair">
        <color rgb="FFD0E0E3"/>
      </bottom>
    </border>
    <border>
      <left style="thin">
        <color rgb="FFFFFFFF"/>
      </left>
      <right style="thin">
        <color rgb="FFFFFFFF"/>
      </right>
      <top style="thick">
        <color rgb="FFFFFFFF"/>
      </top>
      <bottom style="hair">
        <color rgb="FFD0E0E3"/>
      </bottom>
    </border>
    <border>
      <top style="thick">
        <color rgb="FFFFFFFF"/>
      </top>
    </border>
    <border>
      <left style="medium">
        <color rgb="FFFFFFFF"/>
      </left>
      <right style="thin">
        <color rgb="FFFFFFFF"/>
      </right>
      <top style="hair">
        <color rgb="FFD0E0E3"/>
      </top>
      <bottom style="hair">
        <color rgb="FFD0E0E3"/>
      </bottom>
    </border>
    <border>
      <left style="thin">
        <color rgb="FFFFFFFF"/>
      </left>
      <right style="thin">
        <color rgb="FFFFFFFF"/>
      </right>
      <top style="hair">
        <color rgb="FFD0E0E3"/>
      </top>
      <bottom style="hair">
        <color rgb="FFD0E0E3"/>
      </bottom>
    </border>
    <border>
      <left style="medium">
        <color rgb="FFFFFFFF"/>
      </left>
      <right style="thin">
        <color rgb="FFFFFFFF"/>
      </right>
      <top style="hair">
        <color rgb="FFD0E0E3"/>
      </top>
    </border>
    <border>
      <left style="thin">
        <color rgb="FFFFFFFF"/>
      </left>
      <right style="thin">
        <color rgb="FFFFFFFF"/>
      </right>
      <top style="hair">
        <color rgb="FFD0E0E3"/>
      </top>
    </border>
    <border>
      <left style="medium">
        <color rgb="FFFFFFFF"/>
      </left>
      <right style="thin">
        <color rgb="FFFFFFFF"/>
      </right>
      <top style="hair">
        <color rgb="FFD0E0E3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hair">
        <color rgb="FFD0E0E3"/>
      </top>
      <bottom style="medium">
        <color rgb="FFFFFFFF"/>
      </bottom>
    </border>
    <border>
      <bottom style="medium">
        <color rgb="FFFFFFFF"/>
      </bottom>
    </border>
    <border>
      <left style="medium">
        <color rgb="FFFFFFFF"/>
      </left>
      <right style="thin">
        <color rgb="FFFFFFFF"/>
      </right>
      <bottom style="hair">
        <color rgb="FFD0E0E3"/>
      </bottom>
    </border>
    <border>
      <left style="thin">
        <color rgb="FFFFFFFF"/>
      </left>
      <right style="thin">
        <color rgb="FFFFFFFF"/>
      </right>
      <bottom style="hair">
        <color rgb="FFD0E0E3"/>
      </bottom>
    </border>
    <border>
      <left style="medium">
        <color rgb="FFFFFFFF"/>
      </left>
      <right style="thin">
        <color rgb="FFFFFFFF"/>
      </right>
      <top style="hair">
        <color rgb="FFD0E0E3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hair">
        <color rgb="FFD0E0E3"/>
      </top>
      <bottom style="thick">
        <color rgb="FFFFFFFF"/>
      </bottom>
    </border>
    <border>
      <bottom style="thick">
        <color rgb="FFFFFFFF"/>
      </bottom>
    </border>
    <border>
      <left style="medium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right style="thin">
        <color rgb="FFFFFFFF"/>
      </right>
      <bottom style="medium">
        <color rgb="FFFFFFFF"/>
      </bottom>
    </border>
    <border>
      <left style="thick">
        <color rgb="FFFFFFFF"/>
      </left>
    </border>
    <border>
      <left style="medium">
        <color rgb="FFD0E0E3"/>
      </left>
      <right style="thin">
        <color rgb="FFD0E0E3"/>
      </right>
      <top style="medium">
        <color rgb="FFD0E0E3"/>
      </top>
    </border>
    <border>
      <left style="thin">
        <color rgb="FFD0E0E3"/>
      </left>
      <right style="thin">
        <color rgb="FFD0E0E3"/>
      </right>
      <top style="medium">
        <color rgb="FFD0E0E3"/>
      </top>
      <bottom style="hair">
        <color rgb="FFD0E0E3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hair">
        <color rgb="FFD0E0E3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left style="medium">
        <color rgb="FFD0E0E3"/>
      </left>
      <right style="thin">
        <color rgb="FFD0E0E3"/>
      </right>
    </border>
    <border>
      <left style="thin">
        <color rgb="FFD0E0E3"/>
      </left>
      <right style="thin">
        <color rgb="FFD0E0E3"/>
      </right>
      <top style="hair">
        <color rgb="FFD0E0E3"/>
      </top>
      <bottom style="hair">
        <color rgb="FFD0E0E3"/>
      </bottom>
    </border>
    <border>
      <left style="thin">
        <color rgb="FFD0E0E3"/>
      </left>
      <right style="medium">
        <color rgb="FFD0E0E3"/>
      </right>
      <top style="hair">
        <color rgb="FFD0E0E3"/>
      </top>
      <bottom style="hair">
        <color rgb="FFD0E0E3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medium">
        <color rgb="FFFFFFFF"/>
      </right>
      <bottom style="thin">
        <color rgb="FFFFFFFF"/>
      </bottom>
    </border>
    <border>
      <left style="medium">
        <color rgb="FFD0E0E3"/>
      </left>
      <right style="thin">
        <color rgb="FFD0E0E3"/>
      </right>
      <bottom style="medium">
        <color rgb="FFD0E0E3"/>
      </bottom>
    </border>
    <border>
      <left style="thin">
        <color rgb="FFD0E0E3"/>
      </left>
      <top style="hair">
        <color rgb="FFD0E0E3"/>
      </top>
      <bottom style="medium">
        <color rgb="FFD0E0E3"/>
      </bottom>
    </border>
    <border>
      <top style="hair">
        <color rgb="FFD0E0E3"/>
      </top>
      <bottom style="medium">
        <color rgb="FFD0E0E3"/>
      </bottom>
    </border>
    <border>
      <right style="medium">
        <color rgb="FFD0E0E3"/>
      </right>
      <top style="hair">
        <color rgb="FFD0E0E3"/>
      </top>
      <bottom style="medium">
        <color rgb="FFD0E0E3"/>
      </bottom>
    </border>
    <border>
      <right style="thin">
        <color rgb="FFD0E0E3"/>
      </right>
      <top style="hair">
        <color rgb="FFD0E0E3"/>
      </top>
      <bottom style="hair">
        <color rgb="FFD0E0E3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medium">
        <color rgb="FFD0E0E3"/>
      </left>
      <top style="medium">
        <color rgb="FFD0E0E3"/>
      </top>
    </border>
    <border>
      <left style="medium">
        <color rgb="FFD0E0E3"/>
      </left>
    </border>
    <border>
      <left style="thin">
        <color rgb="FFD0E0E3"/>
      </left>
      <right style="thin">
        <color rgb="FFD0E0E3"/>
      </right>
      <bottom style="hair">
        <color rgb="FFD0E0E3"/>
      </bottom>
    </border>
    <border>
      <left style="thin">
        <color rgb="FFD0E0E3"/>
      </left>
      <bottom style="hair">
        <color rgb="FFD0E0E3"/>
      </bottom>
    </border>
    <border>
      <left style="thin">
        <color rgb="FFD0E0E3"/>
      </left>
      <top style="hair">
        <color rgb="FFD0E0E3"/>
      </top>
      <bottom style="hair">
        <color rgb="FFD0E0E3"/>
      </bottom>
    </border>
    <border>
      <top style="hair">
        <color rgb="FFD0E0E3"/>
      </top>
      <bottom style="hair">
        <color rgb="FFD0E0E3"/>
      </bottom>
    </border>
    <border>
      <left style="medium">
        <color rgb="FFD0E0E3"/>
      </left>
      <bottom style="medium">
        <color rgb="FFD0E0E3"/>
      </bottom>
    </border>
    <border>
      <left style="thin">
        <color rgb="FFD0E0E3"/>
      </left>
      <top style="hair">
        <color rgb="FFD0E0E3"/>
      </top>
    </border>
    <border>
      <top style="hair">
        <color rgb="FFD0E0E3"/>
      </top>
    </border>
    <border>
      <left style="medium">
        <color rgb="FFFFFFFF"/>
      </left>
      <top style="medium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hair">
        <color rgb="FFD0E0E3"/>
      </bottom>
    </border>
    <border>
      <right style="thin">
        <color rgb="FFFFFFFF"/>
      </right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bottom style="thin">
        <color rgb="FFFFFFFF"/>
      </bottom>
    </border>
    <border>
      <left style="medium">
        <color rgb="FFFFFFFF"/>
      </left>
      <right style="medium">
        <color rgb="FFFFFFFF"/>
      </right>
      <top style="hair">
        <color rgb="FFD0E0E3"/>
      </top>
      <bottom style="thin">
        <color rgb="FFFFFFFF"/>
      </bottom>
    </border>
    <border>
      <right style="medium">
        <color rgb="FFFFFFFF"/>
      </right>
      <top style="hair">
        <color rgb="FFD0E0E3"/>
      </top>
      <bottom style="thin">
        <color rgb="FFFFFFFF"/>
      </bottom>
    </border>
    <border>
      <top style="hair">
        <color rgb="FFD0E0E3"/>
      </top>
      <bottom style="thin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medium">
        <color rgb="FFFFFFFF"/>
      </bottom>
    </border>
    <border>
      <right style="thin">
        <color rgb="FFFFFFFF"/>
      </right>
      <bottom style="medium">
        <color rgb="FFFFFFFF"/>
      </bottom>
    </border>
    <border>
      <top style="thin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dotted">
        <color rgb="FF76A5AF"/>
      </left>
      <right style="dotted">
        <color rgb="FF76A5AF"/>
      </right>
      <top style="medium">
        <color rgb="FFFFFFFF"/>
      </top>
      <bottom style="thin">
        <color rgb="FFA2C4C9"/>
      </bottom>
    </border>
    <border>
      <left style="thin">
        <color rgb="FFFFFFFF"/>
      </left>
      <right style="thin">
        <color rgb="FFFFFFFF"/>
      </right>
      <top style="thin">
        <color rgb="FFA2C4C9"/>
      </top>
      <bottom style="thin">
        <color rgb="FFFFFFFF"/>
      </bottom>
    </border>
    <border>
      <right style="thin">
        <color rgb="FFFFFFFF"/>
      </right>
      <top style="thin">
        <color rgb="FFA2C4C9"/>
      </top>
      <bottom style="thin">
        <color rgb="FFFFFFFF"/>
      </bottom>
    </border>
    <border>
      <right style="thin">
        <color rgb="FFFFFFFF"/>
      </right>
      <top style="medium">
        <color rgb="FFFFFFFF"/>
      </top>
      <bottom style="hair">
        <color rgb="FFD0E0E3"/>
      </bottom>
    </border>
    <border>
      <right style="medium">
        <color rgb="FFFFFFFF"/>
      </right>
      <top style="medium">
        <color rgb="FFFFFFFF"/>
      </top>
      <bottom style="hair">
        <color rgb="FFD0E0E3"/>
      </bottom>
    </border>
  </borders>
  <cellStyleXfs count="1">
    <xf borderId="0" fillId="0" fontId="0" numFmtId="0" applyAlignment="1" applyFont="1"/>
  </cellStyleXfs>
  <cellXfs count="4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 shrinkToFit="0" vertical="center" wrapText="1"/>
    </xf>
    <xf borderId="0" fillId="2" fontId="1" numFmtId="49" xfId="0" applyAlignment="1" applyFont="1" applyNumberFormat="1">
      <alignment horizontal="center" readingOrder="0" vertical="center"/>
    </xf>
    <xf borderId="0" fillId="2" fontId="1" numFmtId="4" xfId="0" applyAlignment="1" applyFont="1" applyNumberFormat="1">
      <alignment horizontal="center" vertical="center"/>
    </xf>
    <xf borderId="0" fillId="2" fontId="1" numFmtId="4" xfId="0" applyAlignment="1" applyFont="1" applyNumberFormat="1">
      <alignment vertical="center"/>
    </xf>
    <xf borderId="0" fillId="2" fontId="2" numFmtId="0" xfId="0" applyAlignment="1" applyFont="1">
      <alignment vertical="center"/>
    </xf>
    <xf borderId="0" fillId="2" fontId="3" numFmtId="0" xfId="0" applyAlignment="1" applyFont="1">
      <alignment readingOrder="0" vertical="center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center" readingOrder="0" vertical="center"/>
    </xf>
    <xf borderId="0" fillId="2" fontId="1" numFmtId="0" xfId="0" applyAlignment="1" applyFont="1">
      <alignment shrinkToFit="0" vertical="center" wrapText="1"/>
    </xf>
    <xf borderId="0" fillId="2" fontId="1" numFmtId="49" xfId="0" applyAlignment="1" applyFont="1" applyNumberFormat="1">
      <alignment horizontal="center" vertical="center"/>
    </xf>
    <xf borderId="0" fillId="2" fontId="5" numFmtId="0" xfId="0" applyAlignment="1" applyFont="1">
      <alignment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shrinkToFit="0" vertical="center" wrapText="1"/>
    </xf>
    <xf borderId="0" fillId="2" fontId="5" numFmtId="49" xfId="0" applyAlignment="1" applyFont="1" applyNumberFormat="1">
      <alignment horizontal="center" vertical="center"/>
    </xf>
    <xf borderId="0" fillId="2" fontId="5" numFmtId="4" xfId="0" applyAlignment="1" applyFont="1" applyNumberFormat="1">
      <alignment horizontal="center" vertical="center"/>
    </xf>
    <xf borderId="0" fillId="2" fontId="5" numFmtId="4" xfId="0" applyAlignment="1" applyFont="1" applyNumberFormat="1">
      <alignment vertical="center"/>
    </xf>
    <xf borderId="0" fillId="2" fontId="5" numFmtId="0" xfId="0" applyAlignment="1" applyFont="1">
      <alignment vertical="center"/>
    </xf>
    <xf borderId="0" fillId="2" fontId="6" numFmtId="0" xfId="0" applyAlignment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 readingOrder="0" vertical="center"/>
    </xf>
    <xf borderId="3" fillId="0" fontId="8" numFmtId="0" xfId="0" applyBorder="1" applyFont="1"/>
    <xf borderId="0" fillId="2" fontId="7" numFmtId="0" xfId="0" applyAlignment="1" applyFont="1">
      <alignment horizontal="center" readingOrder="0" vertical="center"/>
    </xf>
    <xf borderId="4" fillId="3" fontId="9" numFmtId="0" xfId="0" applyAlignment="1" applyBorder="1" applyFill="1" applyFont="1">
      <alignment readingOrder="0" vertical="center"/>
    </xf>
    <xf borderId="4" fillId="3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readingOrder="0" shrinkToFit="0" vertical="center" wrapText="1"/>
    </xf>
    <xf borderId="5" fillId="3" fontId="4" numFmtId="49" xfId="0" applyAlignment="1" applyBorder="1" applyFont="1" applyNumberFormat="1">
      <alignment horizontal="center" readingOrder="0" vertical="center"/>
    </xf>
    <xf borderId="5" fillId="3" fontId="4" numFmtId="4" xfId="0" applyAlignment="1" applyBorder="1" applyFont="1" applyNumberFormat="1">
      <alignment horizontal="center" readingOrder="0" vertical="center"/>
    </xf>
    <xf borderId="5" fillId="0" fontId="10" numFmtId="4" xfId="0" applyAlignment="1" applyBorder="1" applyFont="1" applyNumberFormat="1">
      <alignment readingOrder="0" vertical="center"/>
    </xf>
    <xf borderId="5" fillId="3" fontId="11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7" fillId="2" fontId="1" numFmtId="0" xfId="0" applyAlignment="1" applyBorder="1" applyFont="1">
      <alignment shrinkToFit="0" vertical="center" wrapText="1"/>
    </xf>
    <xf borderId="8" fillId="4" fontId="12" numFmtId="49" xfId="0" applyAlignment="1" applyBorder="1" applyFill="1" applyFont="1" applyNumberFormat="1">
      <alignment horizontal="center" readingOrder="0" shrinkToFit="0" vertical="center" wrapText="1"/>
    </xf>
    <xf borderId="9" fillId="4" fontId="12" numFmtId="164" xfId="0" applyAlignment="1" applyBorder="1" applyFont="1" applyNumberFormat="1">
      <alignment horizontal="center" readingOrder="0"/>
    </xf>
    <xf borderId="9" fillId="0" fontId="13" numFmtId="0" xfId="0" applyBorder="1" applyFont="1"/>
    <xf borderId="9" fillId="0" fontId="14" numFmtId="0" xfId="0" applyAlignment="1" applyBorder="1" applyFont="1">
      <alignment readingOrder="0"/>
    </xf>
    <xf borderId="10" fillId="0" fontId="1" numFmtId="0" xfId="0" applyAlignment="1" applyBorder="1" applyFont="1">
      <alignment horizontal="center" shrinkToFit="0" wrapText="1"/>
    </xf>
    <xf borderId="11" fillId="0" fontId="1" numFmtId="3" xfId="0" applyAlignment="1" applyBorder="1" applyFont="1" applyNumberFormat="1">
      <alignment horizontal="center" readingOrder="0" shrinkToFit="0" wrapText="1"/>
    </xf>
    <xf borderId="12" fillId="0" fontId="1" numFmtId="3" xfId="0" applyAlignment="1" applyBorder="1" applyFont="1" applyNumberFormat="1">
      <alignment horizontal="right" readingOrder="0"/>
    </xf>
    <xf borderId="10" fillId="0" fontId="1" numFmtId="3" xfId="0" applyAlignment="1" applyBorder="1" applyFont="1" applyNumberFormat="1">
      <alignment horizontal="center" shrinkToFit="0" wrapText="1"/>
    </xf>
    <xf borderId="10" fillId="0" fontId="13" numFmtId="0" xfId="0" applyBorder="1" applyFont="1"/>
    <xf borderId="0" fillId="0" fontId="13" numFmtId="0" xfId="0" applyFont="1"/>
    <xf borderId="9" fillId="0" fontId="14" numFmtId="0" xfId="0" applyBorder="1" applyFont="1"/>
    <xf borderId="9" fillId="0" fontId="1" numFmtId="0" xfId="0" applyAlignment="1" applyBorder="1" applyFont="1">
      <alignment horizontal="center" shrinkToFit="0" wrapText="1"/>
    </xf>
    <xf borderId="9" fillId="0" fontId="14" numFmtId="0" xfId="0" applyAlignment="1" applyBorder="1" applyFont="1">
      <alignment readingOrder="0" shrinkToFit="0" wrapText="1"/>
    </xf>
    <xf borderId="10" fillId="0" fontId="13" numFmtId="0" xfId="0" applyAlignment="1" applyBorder="1" applyFont="1">
      <alignment readingOrder="0"/>
    </xf>
    <xf borderId="11" fillId="0" fontId="13" numFmtId="3" xfId="0" applyAlignment="1" applyBorder="1" applyFont="1" applyNumberFormat="1">
      <alignment readingOrder="0"/>
    </xf>
    <xf borderId="12" fillId="0" fontId="1" numFmtId="3" xfId="0" applyAlignment="1" applyBorder="1" applyFont="1" applyNumberFormat="1">
      <alignment horizontal="right" readingOrder="0" shrinkToFit="0" wrapText="1"/>
    </xf>
    <xf borderId="12" fillId="5" fontId="1" numFmtId="3" xfId="0" applyAlignment="1" applyBorder="1" applyFill="1" applyFont="1" applyNumberFormat="1">
      <alignment horizontal="right" readingOrder="0"/>
    </xf>
    <xf borderId="10" fillId="0" fontId="1" numFmtId="3" xfId="0" applyAlignment="1" applyBorder="1" applyFont="1" applyNumberFormat="1">
      <alignment horizontal="center" readingOrder="0" shrinkToFit="0" wrapText="1"/>
    </xf>
    <xf borderId="9" fillId="0" fontId="13" numFmtId="0" xfId="0" applyAlignment="1" applyBorder="1" applyFont="1">
      <alignment readingOrder="0"/>
    </xf>
    <xf borderId="9" fillId="0" fontId="14" numFmtId="0" xfId="0" applyAlignment="1" applyBorder="1" applyFont="1">
      <alignment readingOrder="0" shrinkToFit="0" vertical="bottom" wrapText="1"/>
    </xf>
    <xf borderId="11" fillId="0" fontId="1" numFmtId="3" xfId="0" applyAlignment="1" applyBorder="1" applyFont="1" applyNumberFormat="1">
      <alignment horizontal="center" shrinkToFit="0" wrapText="1"/>
    </xf>
    <xf borderId="12" fillId="5" fontId="1" numFmtId="3" xfId="0" applyAlignment="1" applyBorder="1" applyFont="1" applyNumberFormat="1">
      <alignment horizontal="right" readingOrder="0" shrinkToFit="0" vertical="bottom" wrapText="1"/>
    </xf>
    <xf borderId="10" fillId="0" fontId="13" numFmtId="3" xfId="0" applyAlignment="1" applyBorder="1" applyFont="1" applyNumberFormat="1">
      <alignment readingOrder="0" vertical="bottom"/>
    </xf>
    <xf borderId="10" fillId="0" fontId="13" numFmtId="0" xfId="0" applyAlignment="1" applyBorder="1" applyFont="1">
      <alignment readingOrder="0" vertical="bottom"/>
    </xf>
    <xf borderId="0" fillId="0" fontId="13" numFmtId="0" xfId="0" applyAlignment="1" applyFont="1">
      <alignment vertical="bottom"/>
    </xf>
    <xf borderId="10" fillId="0" fontId="13" numFmtId="3" xfId="0" applyAlignment="1" applyBorder="1" applyFont="1" applyNumberFormat="1">
      <alignment readingOrder="0"/>
    </xf>
    <xf borderId="13" fillId="4" fontId="12" numFmtId="164" xfId="0" applyAlignment="1" applyBorder="1" applyFont="1" applyNumberFormat="1">
      <alignment horizontal="center" readingOrder="0" vertical="center"/>
    </xf>
    <xf borderId="8" fillId="4" fontId="13" numFmtId="0" xfId="0" applyAlignment="1" applyBorder="1" applyFont="1">
      <alignment readingOrder="0" vertical="center"/>
    </xf>
    <xf borderId="14" fillId="0" fontId="14" numFmtId="0" xfId="0" applyAlignment="1" applyBorder="1" applyFont="1">
      <alignment readingOrder="0" shrinkToFit="0" vertical="center" wrapText="1"/>
    </xf>
    <xf borderId="9" fillId="4" fontId="1" numFmtId="0" xfId="0" applyAlignment="1" applyBorder="1" applyFont="1">
      <alignment horizontal="center" readingOrder="0" shrinkToFit="0" vertical="center" wrapText="1"/>
    </xf>
    <xf borderId="10" fillId="6" fontId="15" numFmtId="3" xfId="0" applyAlignment="1" applyBorder="1" applyFill="1" applyFont="1" applyNumberFormat="1">
      <alignment horizontal="center" readingOrder="0" shrinkToFit="0" vertical="center" wrapText="1"/>
    </xf>
    <xf borderId="14" fillId="7" fontId="15" numFmtId="3" xfId="0" applyAlignment="1" applyBorder="1" applyFill="1" applyFont="1" applyNumberFormat="1">
      <alignment horizontal="right" readingOrder="0" vertical="center"/>
    </xf>
    <xf borderId="0" fillId="4" fontId="13" numFmtId="0" xfId="0" applyAlignment="1" applyFont="1">
      <alignment vertical="center"/>
    </xf>
    <xf borderId="8" fillId="4" fontId="16" numFmtId="0" xfId="0" applyAlignment="1" applyBorder="1" applyFont="1">
      <alignment horizontal="center" readingOrder="0" shrinkToFit="0" vertical="center" wrapText="1"/>
    </xf>
    <xf borderId="14" fillId="0" fontId="14" numFmtId="0" xfId="0" applyAlignment="1" applyBorder="1" applyFont="1">
      <alignment readingOrder="0" vertical="center"/>
    </xf>
    <xf borderId="9" fillId="4" fontId="16" numFmtId="0" xfId="0" applyAlignment="1" applyBorder="1" applyFont="1">
      <alignment horizontal="center" readingOrder="0" shrinkToFit="0" vertical="center" wrapText="1"/>
    </xf>
    <xf borderId="0" fillId="4" fontId="16" numFmtId="0" xfId="0" applyAlignment="1" applyFont="1">
      <alignment horizontal="center" readingOrder="0" shrinkToFit="0" vertical="center" wrapText="1"/>
    </xf>
    <xf borderId="8" fillId="4" fontId="13" numFmtId="0" xfId="0" applyAlignment="1" applyBorder="1" applyFont="1">
      <alignment vertical="center"/>
    </xf>
    <xf borderId="14" fillId="0" fontId="14" numFmtId="0" xfId="0" applyAlignment="1" applyBorder="1" applyFont="1">
      <alignment readingOrder="0" vertical="bottom"/>
    </xf>
    <xf borderId="14" fillId="0" fontId="15" numFmtId="3" xfId="0" applyAlignment="1" applyBorder="1" applyFont="1" applyNumberFormat="1">
      <alignment horizontal="right" readingOrder="0" vertical="bottom"/>
    </xf>
    <xf borderId="14" fillId="0" fontId="15" numFmtId="3" xfId="0" applyAlignment="1" applyBorder="1" applyFont="1" applyNumberFormat="1">
      <alignment horizontal="right" readingOrder="0" vertical="center"/>
    </xf>
    <xf borderId="13" fillId="4" fontId="2" numFmtId="164" xfId="0" applyAlignment="1" applyBorder="1" applyFont="1" applyNumberFormat="1">
      <alignment horizontal="center" readingOrder="0" vertical="center"/>
    </xf>
    <xf borderId="14" fillId="0" fontId="15" numFmtId="3" xfId="0" applyAlignment="1" applyBorder="1" applyFont="1" applyNumberFormat="1">
      <alignment horizontal="right" vertical="bottom"/>
    </xf>
    <xf borderId="14" fillId="0" fontId="14" numFmtId="0" xfId="0" applyAlignment="1" applyBorder="1" applyFont="1">
      <alignment vertical="bottom"/>
    </xf>
    <xf borderId="14" fillId="0" fontId="13" numFmtId="0" xfId="0" applyAlignment="1" applyBorder="1" applyFont="1">
      <alignment readingOrder="0" vertical="bottom"/>
    </xf>
    <xf borderId="14" fillId="0" fontId="17" numFmtId="3" xfId="0" applyAlignment="1" applyBorder="1" applyFont="1" applyNumberFormat="1">
      <alignment readingOrder="0" vertical="bottom"/>
    </xf>
    <xf borderId="7" fillId="2" fontId="12" numFmtId="0" xfId="0" applyAlignment="1" applyBorder="1" applyFont="1">
      <alignment shrinkToFit="0" vertical="center" wrapText="1"/>
    </xf>
    <xf borderId="8" fillId="4" fontId="12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readingOrder="0" vertical="bottom"/>
    </xf>
    <xf borderId="14" fillId="0" fontId="15" numFmtId="3" xfId="0" applyAlignment="1" applyBorder="1" applyFont="1" applyNumberFormat="1">
      <alignment readingOrder="0" vertical="bottom"/>
    </xf>
    <xf borderId="0" fillId="4" fontId="12" numFmtId="0" xfId="0" applyAlignment="1" applyFont="1">
      <alignment horizontal="center" readingOrder="0" shrinkToFit="0" vertical="center" wrapText="1"/>
    </xf>
    <xf borderId="14" fillId="0" fontId="12" numFmtId="0" xfId="0" applyAlignment="1" applyBorder="1" applyFont="1">
      <alignment vertical="bottom"/>
    </xf>
    <xf borderId="13" fillId="4" fontId="12" numFmtId="164" xfId="0" applyAlignment="1" applyBorder="1" applyFont="1" applyNumberFormat="1">
      <alignment horizontal="center" vertical="center"/>
    </xf>
    <xf borderId="8" fillId="4" fontId="12" numFmtId="164" xfId="0" applyAlignment="1" applyBorder="1" applyFont="1" applyNumberFormat="1">
      <alignment horizontal="center" readingOrder="0" vertical="center"/>
    </xf>
    <xf borderId="8" fillId="0" fontId="14" numFmtId="0" xfId="0" applyAlignment="1" applyBorder="1" applyFont="1">
      <alignment readingOrder="0" shrinkToFit="0" vertical="center" wrapText="1"/>
    </xf>
    <xf borderId="8" fillId="0" fontId="15" numFmtId="3" xfId="0" applyAlignment="1" applyBorder="1" applyFont="1" applyNumberFormat="1">
      <alignment horizontal="right" readingOrder="0" vertical="center"/>
    </xf>
    <xf borderId="8" fillId="4" fontId="12" numFmtId="164" xfId="0" applyAlignment="1" applyBorder="1" applyFont="1" applyNumberFormat="1">
      <alignment horizontal="center" vertical="center"/>
    </xf>
    <xf borderId="8" fillId="0" fontId="14" numFmtId="0" xfId="0" applyAlignment="1" applyBorder="1" applyFont="1">
      <alignment shrinkToFit="0" vertical="center" wrapText="1"/>
    </xf>
    <xf borderId="8" fillId="0" fontId="15" numFmtId="3" xfId="0" applyAlignment="1" applyBorder="1" applyFont="1" applyNumberFormat="1">
      <alignment horizontal="right" vertical="center"/>
    </xf>
    <xf borderId="15" fillId="2" fontId="1" numFmtId="0" xfId="0" applyAlignment="1" applyBorder="1" applyFont="1">
      <alignment shrinkToFit="0" vertical="center" wrapText="1"/>
    </xf>
    <xf borderId="8" fillId="4" fontId="12" numFmtId="164" xfId="0" applyAlignment="1" applyBorder="1" applyFont="1" applyNumberFormat="1">
      <alignment horizontal="center" readingOrder="0" shrinkToFit="0" vertical="center" wrapText="1"/>
    </xf>
    <xf borderId="8" fillId="0" fontId="15" numFmtId="3" xfId="0" applyAlignment="1" applyBorder="1" applyFont="1" applyNumberFormat="1">
      <alignment horizontal="right" readingOrder="0" shrinkToFit="0" vertical="center" wrapText="1"/>
    </xf>
    <xf borderId="16" fillId="2" fontId="1" numFmtId="0" xfId="0" applyAlignment="1" applyBorder="1" applyFont="1">
      <alignment shrinkToFit="0" vertical="center" wrapText="1"/>
    </xf>
    <xf borderId="8" fillId="4" fontId="15" numFmtId="3" xfId="0" applyAlignment="1" applyBorder="1" applyFont="1" applyNumberFormat="1">
      <alignment horizontal="center" readingOrder="0" vertical="center"/>
    </xf>
    <xf borderId="17" fillId="4" fontId="12" numFmtId="49" xfId="0" applyAlignment="1" applyBorder="1" applyFont="1" applyNumberFormat="1">
      <alignment horizontal="center" readingOrder="0" shrinkToFit="0" vertical="center" wrapText="1"/>
    </xf>
    <xf borderId="17" fillId="4" fontId="12" numFmtId="164" xfId="0" applyAlignment="1" applyBorder="1" applyFont="1" applyNumberFormat="1">
      <alignment horizontal="center" readingOrder="0" shrinkToFit="0" vertical="center" wrapText="1"/>
    </xf>
    <xf borderId="17" fillId="4" fontId="15" numFmtId="3" xfId="0" applyAlignment="1" applyBorder="1" applyFont="1" applyNumberFormat="1">
      <alignment horizontal="center" readingOrder="0" vertical="center"/>
    </xf>
    <xf borderId="17" fillId="0" fontId="14" numFmtId="0" xfId="0" applyAlignment="1" applyBorder="1" applyFont="1">
      <alignment readingOrder="0" shrinkToFit="0" vertical="center" wrapText="1"/>
    </xf>
    <xf borderId="17" fillId="4" fontId="16" numFmtId="0" xfId="0" applyAlignment="1" applyBorder="1" applyFont="1">
      <alignment horizontal="center" readingOrder="0" shrinkToFit="0" vertical="center" wrapText="1"/>
    </xf>
    <xf borderId="17" fillId="0" fontId="15" numFmtId="3" xfId="0" applyAlignment="1" applyBorder="1" applyFont="1" applyNumberFormat="1">
      <alignment horizontal="right" readingOrder="0" shrinkToFit="0" vertical="center" wrapText="1"/>
    </xf>
    <xf borderId="0" fillId="2" fontId="1" numFmtId="0" xfId="0" applyAlignment="1" applyFont="1">
      <alignment vertical="center"/>
    </xf>
    <xf borderId="4" fillId="4" fontId="2" numFmtId="164" xfId="0" applyAlignment="1" applyBorder="1" applyFont="1" applyNumberFormat="1">
      <alignment readingOrder="0" vertical="center"/>
    </xf>
    <xf borderId="4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right" readingOrder="0" shrinkToFit="0" vertical="center" wrapText="1"/>
    </xf>
    <xf borderId="5" fillId="0" fontId="18" numFmtId="49" xfId="0" applyAlignment="1" applyBorder="1" applyFont="1" applyNumberFormat="1">
      <alignment horizontal="center" readingOrder="0" vertical="center"/>
    </xf>
    <xf borderId="5" fillId="0" fontId="14" numFmtId="3" xfId="0" applyAlignment="1" applyBorder="1" applyFont="1" applyNumberFormat="1">
      <alignment horizontal="center" vertical="center"/>
    </xf>
    <xf borderId="5" fillId="0" fontId="15" numFmtId="3" xfId="0" applyAlignment="1" applyBorder="1" applyFont="1" applyNumberFormat="1">
      <alignment vertical="center"/>
    </xf>
    <xf borderId="5" fillId="2" fontId="2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0" fillId="2" fontId="1" numFmtId="0" xfId="0" applyAlignment="1" applyFont="1">
      <alignment horizontal="center" vertical="center"/>
    </xf>
    <xf borderId="0" fillId="0" fontId="15" numFmtId="4" xfId="0" applyAlignment="1" applyFont="1" applyNumberFormat="1">
      <alignment vertical="center"/>
    </xf>
    <xf borderId="18" fillId="8" fontId="19" numFmtId="3" xfId="0" applyAlignment="1" applyBorder="1" applyFill="1" applyFont="1" applyNumberFormat="1">
      <alignment readingOrder="0" shrinkToFit="0" vertical="center" wrapText="1"/>
    </xf>
    <xf borderId="0" fillId="0" fontId="20" numFmtId="4" xfId="0" applyAlignment="1" applyFont="1" applyNumberFormat="1">
      <alignment vertical="center"/>
    </xf>
    <xf borderId="0" fillId="2" fontId="21" numFmtId="0" xfId="0" applyAlignment="1" applyFont="1">
      <alignment readingOrder="0" vertical="center"/>
    </xf>
    <xf borderId="0" fillId="2" fontId="21" numFmtId="0" xfId="0" applyAlignment="1" applyFont="1">
      <alignment horizontal="center" readingOrder="0" vertical="center"/>
    </xf>
    <xf borderId="0" fillId="2" fontId="21" numFmtId="0" xfId="0" applyAlignment="1" applyFont="1">
      <alignment readingOrder="0" shrinkToFit="0" vertical="center" wrapText="1"/>
    </xf>
    <xf borderId="0" fillId="2" fontId="21" numFmtId="49" xfId="0" applyAlignment="1" applyFont="1" applyNumberFormat="1">
      <alignment horizontal="center" readingOrder="0" vertical="center"/>
    </xf>
    <xf borderId="0" fillId="2" fontId="21" numFmtId="4" xfId="0" applyAlignment="1" applyFont="1" applyNumberFormat="1">
      <alignment horizontal="center" readingOrder="0" vertical="center"/>
    </xf>
    <xf borderId="0" fillId="0" fontId="22" numFmtId="4" xfId="0" applyAlignment="1" applyFont="1" applyNumberFormat="1">
      <alignment readingOrder="0" vertical="center"/>
    </xf>
    <xf borderId="0" fillId="2" fontId="21" numFmtId="4" xfId="0" applyAlignment="1" applyFont="1" applyNumberFormat="1">
      <alignment readingOrder="0" vertical="center"/>
    </xf>
    <xf borderId="0" fillId="2" fontId="7" numFmtId="0" xfId="0" applyAlignment="1" applyFont="1">
      <alignment readingOrder="0" vertical="center"/>
    </xf>
    <xf borderId="0" fillId="2" fontId="23" numFmtId="0" xfId="0" applyAlignment="1" applyFont="1">
      <alignment readingOrder="0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shrinkToFit="0" vertical="center" wrapText="1"/>
    </xf>
    <xf borderId="0" fillId="2" fontId="24" numFmtId="49" xfId="0" applyAlignment="1" applyFont="1" applyNumberFormat="1">
      <alignment horizontal="center" vertical="center"/>
    </xf>
    <xf borderId="0" fillId="2" fontId="24" numFmtId="4" xfId="0" applyAlignment="1" applyFont="1" applyNumberFormat="1">
      <alignment horizontal="center" vertical="center"/>
    </xf>
    <xf borderId="0" fillId="0" fontId="25" numFmtId="4" xfId="0" applyAlignment="1" applyFont="1" applyNumberFormat="1">
      <alignment vertical="center"/>
    </xf>
    <xf borderId="0" fillId="2" fontId="24" numFmtId="4" xfId="0" applyAlignment="1" applyFont="1" applyNumberFormat="1">
      <alignment vertical="center"/>
    </xf>
    <xf borderId="0" fillId="3" fontId="26" numFmtId="0" xfId="0" applyAlignment="1" applyFont="1">
      <alignment horizontal="center" readingOrder="0" vertical="center"/>
    </xf>
    <xf borderId="0" fillId="3" fontId="26" numFmtId="0" xfId="0" applyAlignment="1" applyFont="1">
      <alignment horizontal="center" readingOrder="0" shrinkToFit="0" vertical="center" wrapText="1"/>
    </xf>
    <xf borderId="0" fillId="3" fontId="26" numFmtId="49" xfId="0" applyAlignment="1" applyFont="1" applyNumberFormat="1">
      <alignment horizontal="center" readingOrder="0" vertical="center"/>
    </xf>
    <xf borderId="0" fillId="3" fontId="26" numFmtId="4" xfId="0" applyAlignment="1" applyFont="1" applyNumberFormat="1">
      <alignment horizontal="center" readingOrder="0" vertical="center"/>
    </xf>
    <xf borderId="0" fillId="0" fontId="22" numFmtId="4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12" numFmtId="3" xfId="0" applyAlignment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2" numFmtId="49" xfId="0" applyAlignment="1" applyFont="1" applyNumberFormat="1">
      <alignment horizontal="center" vertical="center"/>
    </xf>
    <xf borderId="0" fillId="0" fontId="12" numFmtId="4" xfId="0" applyAlignment="1" applyFont="1" applyNumberFormat="1">
      <alignment horizontal="center" vertical="center"/>
    </xf>
    <xf borderId="0" fillId="0" fontId="12" numFmtId="4" xfId="0" applyAlignment="1" applyFont="1" applyNumberFormat="1">
      <alignment vertical="center"/>
    </xf>
    <xf borderId="0" fillId="8" fontId="26" numFmtId="3" xfId="0" applyAlignment="1" applyFont="1" applyNumberFormat="1">
      <alignment horizontal="center" readingOrder="0" shrinkToFit="0" vertical="center" wrapText="1"/>
    </xf>
    <xf borderId="0" fillId="2" fontId="26" numFmtId="49" xfId="0" applyAlignment="1" applyFont="1" applyNumberFormat="1">
      <alignment horizontal="center" readingOrder="0" vertical="center"/>
    </xf>
    <xf borderId="0" fillId="2" fontId="26" numFmtId="4" xfId="0" applyAlignment="1" applyFont="1" applyNumberFormat="1">
      <alignment horizontal="center" readingOrder="0" vertical="center"/>
    </xf>
    <xf borderId="19" fillId="0" fontId="1" numFmtId="0" xfId="0" applyAlignment="1" applyBorder="1" applyFont="1">
      <alignment vertical="center"/>
    </xf>
    <xf borderId="19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shrinkToFit="0" vertical="center" wrapText="1"/>
    </xf>
    <xf borderId="19" fillId="0" fontId="1" numFmtId="49" xfId="0" applyAlignment="1" applyBorder="1" applyFont="1" applyNumberFormat="1">
      <alignment horizontal="center" vertical="center"/>
    </xf>
    <xf borderId="19" fillId="0" fontId="1" numFmtId="4" xfId="0" applyAlignment="1" applyBorder="1" applyFont="1" applyNumberFormat="1">
      <alignment horizontal="center" vertical="center"/>
    </xf>
    <xf borderId="19" fillId="0" fontId="15" numFmtId="4" xfId="0" applyAlignment="1" applyBorder="1" applyFont="1" applyNumberFormat="1">
      <alignment vertical="center"/>
    </xf>
    <xf borderId="0" fillId="0" fontId="1" numFmtId="4" xfId="0" applyAlignment="1" applyFont="1" applyNumberFormat="1">
      <alignment vertical="center"/>
    </xf>
    <xf borderId="20" fillId="0" fontId="1" numFmtId="0" xfId="0" applyAlignment="1" applyBorder="1" applyFont="1">
      <alignment vertical="center"/>
    </xf>
    <xf borderId="20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shrinkToFit="0" vertical="center" wrapText="1"/>
    </xf>
    <xf borderId="20" fillId="0" fontId="1" numFmtId="49" xfId="0" applyAlignment="1" applyBorder="1" applyFont="1" applyNumberFormat="1">
      <alignment horizontal="center" vertical="center"/>
    </xf>
    <xf borderId="20" fillId="0" fontId="1" numFmtId="4" xfId="0" applyAlignment="1" applyBorder="1" applyFont="1" applyNumberFormat="1">
      <alignment horizontal="center" vertical="center"/>
    </xf>
    <xf borderId="20" fillId="0" fontId="15" numFmtId="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1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shrinkToFit="0" vertical="center" wrapText="1"/>
    </xf>
    <xf borderId="21" fillId="0" fontId="1" numFmtId="49" xfId="0" applyAlignment="1" applyBorder="1" applyFont="1" applyNumberFormat="1">
      <alignment horizontal="center" vertical="center"/>
    </xf>
    <xf borderId="21" fillId="0" fontId="1" numFmtId="4" xfId="0" applyAlignment="1" applyBorder="1" applyFont="1" applyNumberFormat="1">
      <alignment horizontal="center" vertical="center"/>
    </xf>
    <xf borderId="21" fillId="0" fontId="15" numFmtId="4" xfId="0" applyAlignment="1" applyBorder="1" applyFont="1" applyNumberFormat="1">
      <alignment vertical="center"/>
    </xf>
    <xf borderId="0" fillId="0" fontId="12" numFmtId="3" xfId="0" applyAlignment="1" applyFont="1" applyNumberFormat="1">
      <alignment horizontal="center" vertical="center"/>
    </xf>
    <xf borderId="0" fillId="0" fontId="12" numFmtId="3" xfId="0" applyAlignment="1" applyFont="1" applyNumberFormat="1">
      <alignment shrinkToFit="0" vertical="center" wrapText="1"/>
    </xf>
    <xf borderId="0" fillId="0" fontId="15" numFmtId="3" xfId="0" applyAlignment="1" applyFont="1" applyNumberFormat="1">
      <alignment vertical="center"/>
    </xf>
    <xf borderId="0" fillId="0" fontId="12" numFmtId="4" xfId="0" applyAlignment="1" applyFont="1" applyNumberFormat="1">
      <alignment readingOrder="0" shrinkToFit="0" vertical="center" wrapText="1"/>
    </xf>
    <xf borderId="0" fillId="2" fontId="27" numFmtId="0" xfId="0" applyAlignment="1" applyFont="1">
      <alignment readingOrder="0" vertical="center"/>
    </xf>
    <xf borderId="19" fillId="4" fontId="1" numFmtId="0" xfId="0" applyAlignment="1" applyBorder="1" applyFont="1">
      <alignment vertical="center"/>
    </xf>
    <xf borderId="19" fillId="4" fontId="1" numFmtId="0" xfId="0" applyAlignment="1" applyBorder="1" applyFont="1">
      <alignment horizontal="center" vertical="center"/>
    </xf>
    <xf borderId="19" fillId="4" fontId="1" numFmtId="0" xfId="0" applyAlignment="1" applyBorder="1" applyFont="1">
      <alignment shrinkToFit="0" vertical="center" wrapText="1"/>
    </xf>
    <xf borderId="19" fillId="4" fontId="1" numFmtId="49" xfId="0" applyAlignment="1" applyBorder="1" applyFont="1" applyNumberFormat="1">
      <alignment horizontal="center" vertical="center"/>
    </xf>
    <xf borderId="19" fillId="4" fontId="1" numFmtId="4" xfId="0" applyAlignment="1" applyBorder="1" applyFont="1" applyNumberFormat="1">
      <alignment horizontal="center" vertical="center"/>
    </xf>
    <xf borderId="0" fillId="4" fontId="1" numFmtId="4" xfId="0" applyAlignment="1" applyFont="1" applyNumberFormat="1">
      <alignment vertical="center"/>
    </xf>
    <xf borderId="20" fillId="4" fontId="1" numFmtId="0" xfId="0" applyAlignment="1" applyBorder="1" applyFont="1">
      <alignment vertical="center"/>
    </xf>
    <xf borderId="20" fillId="4" fontId="1" numFmtId="0" xfId="0" applyAlignment="1" applyBorder="1" applyFont="1">
      <alignment horizontal="center" vertical="center"/>
    </xf>
    <xf borderId="20" fillId="4" fontId="1" numFmtId="0" xfId="0" applyAlignment="1" applyBorder="1" applyFont="1">
      <alignment shrinkToFit="0" vertical="center" wrapText="1"/>
    </xf>
    <xf borderId="20" fillId="4" fontId="1" numFmtId="49" xfId="0" applyAlignment="1" applyBorder="1" applyFont="1" applyNumberFormat="1">
      <alignment horizontal="center" vertical="center"/>
    </xf>
    <xf borderId="20" fillId="4" fontId="1" numFmtId="4" xfId="0" applyAlignment="1" applyBorder="1" applyFont="1" applyNumberFormat="1">
      <alignment horizontal="center" vertical="center"/>
    </xf>
    <xf borderId="21" fillId="4" fontId="1" numFmtId="0" xfId="0" applyAlignment="1" applyBorder="1" applyFont="1">
      <alignment vertical="center"/>
    </xf>
    <xf borderId="21" fillId="4" fontId="1" numFmtId="0" xfId="0" applyAlignment="1" applyBorder="1" applyFont="1">
      <alignment horizontal="center" vertical="center"/>
    </xf>
    <xf borderId="21" fillId="4" fontId="1" numFmtId="0" xfId="0" applyAlignment="1" applyBorder="1" applyFont="1">
      <alignment shrinkToFit="0" vertical="center" wrapText="1"/>
    </xf>
    <xf borderId="21" fillId="4" fontId="1" numFmtId="49" xfId="0" applyAlignment="1" applyBorder="1" applyFont="1" applyNumberFormat="1">
      <alignment horizontal="center" vertical="center"/>
    </xf>
    <xf borderId="21" fillId="4" fontId="1" numFmtId="4" xfId="0" applyAlignment="1" applyBorder="1" applyFont="1" applyNumberFormat="1">
      <alignment horizontal="center" vertical="center"/>
    </xf>
    <xf borderId="0" fillId="9" fontId="2" numFmtId="0" xfId="0" applyAlignment="1" applyFill="1" applyFont="1">
      <alignment horizontal="center" readingOrder="0" vertical="center"/>
    </xf>
    <xf borderId="0" fillId="6" fontId="2" numFmtId="0" xfId="0" applyAlignment="1" applyFont="1">
      <alignment horizontal="center" vertical="center"/>
    </xf>
    <xf borderId="0" fillId="6" fontId="15" numFmtId="0" xfId="0" applyAlignment="1" applyFont="1">
      <alignment horizontal="center" vertical="center"/>
    </xf>
    <xf borderId="22" fillId="0" fontId="8" numFmtId="0" xfId="0" applyBorder="1" applyFont="1"/>
    <xf borderId="0" fillId="2" fontId="7" numFmtId="9" xfId="0" applyAlignment="1" applyFont="1" applyNumberFormat="1">
      <alignment horizontal="center" readingOrder="0" vertical="center"/>
    </xf>
    <xf borderId="23" fillId="6" fontId="2" numFmtId="0" xfId="0" applyAlignment="1" applyBorder="1" applyFont="1">
      <alignment horizontal="center" vertical="center"/>
    </xf>
    <xf borderId="24" fillId="6" fontId="15" numFmtId="0" xfId="0" applyAlignment="1" applyBorder="1" applyFont="1">
      <alignment horizontal="center" vertical="center"/>
    </xf>
    <xf borderId="24" fillId="4" fontId="16" numFmtId="0" xfId="0" applyAlignment="1" applyBorder="1" applyFont="1">
      <alignment horizontal="center" readingOrder="0" shrinkToFit="0" vertical="center" wrapText="1"/>
    </xf>
    <xf borderId="25" fillId="6" fontId="2" numFmtId="0" xfId="0" applyAlignment="1" applyBorder="1" applyFont="1">
      <alignment horizontal="center" readingOrder="0" vertical="center"/>
    </xf>
    <xf borderId="0" fillId="6" fontId="2" numFmtId="3" xfId="0" applyAlignment="1" applyFont="1" applyNumberFormat="1">
      <alignment horizontal="center" readingOrder="0" vertical="center"/>
    </xf>
    <xf borderId="26" fillId="4" fontId="16" numFmtId="0" xfId="0" applyAlignment="1" applyBorder="1" applyFont="1">
      <alignment horizontal="center" readingOrder="0" shrinkToFit="0" vertical="center" wrapText="1"/>
    </xf>
    <xf borderId="27" fillId="6" fontId="2" numFmtId="0" xfId="0" applyAlignment="1" applyBorder="1" applyFont="1">
      <alignment horizontal="center" readingOrder="0" vertical="center"/>
    </xf>
    <xf borderId="0" fillId="6" fontId="16" numFmtId="3" xfId="0" applyAlignment="1" applyFont="1" applyNumberFormat="1">
      <alignment horizontal="center" readingOrder="0" vertical="center"/>
    </xf>
    <xf borderId="28" fillId="2" fontId="2" numFmtId="3" xfId="0" applyAlignment="1" applyBorder="1" applyFont="1" applyNumberFormat="1">
      <alignment horizontal="center" readingOrder="0" vertical="center"/>
    </xf>
    <xf borderId="29" fillId="2" fontId="15" numFmtId="3" xfId="0" applyAlignment="1" applyBorder="1" applyFont="1" applyNumberFormat="1">
      <alignment horizontal="center" readingOrder="0" vertical="center"/>
    </xf>
    <xf borderId="29" fillId="6" fontId="2" numFmtId="3" xfId="0" applyAlignment="1" applyBorder="1" applyFont="1" applyNumberFormat="1">
      <alignment horizontal="center" vertical="center"/>
    </xf>
    <xf borderId="30" fillId="2" fontId="2" numFmtId="3" xfId="0" applyAlignment="1" applyBorder="1" applyFont="1" applyNumberFormat="1">
      <alignment horizontal="center" readingOrder="0" vertical="center"/>
    </xf>
    <xf borderId="30" fillId="6" fontId="2" numFmtId="9" xfId="0" applyAlignment="1" applyBorder="1" applyFont="1" applyNumberFormat="1">
      <alignment horizontal="center" vertical="center"/>
    </xf>
    <xf borderId="30" fillId="6" fontId="2" numFmtId="3" xfId="0" applyAlignment="1" applyBorder="1" applyFont="1" applyNumberFormat="1">
      <alignment horizontal="center" vertical="center"/>
    </xf>
    <xf borderId="31" fillId="6" fontId="2" numFmtId="165" xfId="0" applyAlignment="1" applyBorder="1" applyFont="1" applyNumberFormat="1">
      <alignment horizontal="center" readingOrder="0" vertical="center"/>
    </xf>
    <xf borderId="32" fillId="6" fontId="15" numFmtId="3" xfId="0" applyAlignment="1" applyBorder="1" applyFont="1" applyNumberFormat="1">
      <alignment horizontal="center" readingOrder="0" shrinkToFit="0" vertical="center" wrapText="1"/>
    </xf>
    <xf borderId="32" fillId="6" fontId="2" numFmtId="3" xfId="0" applyAlignment="1" applyBorder="1" applyFont="1" applyNumberFormat="1">
      <alignment horizontal="center" vertical="center"/>
    </xf>
    <xf borderId="0" fillId="2" fontId="2" numFmtId="3" xfId="0" applyAlignment="1" applyFont="1" applyNumberFormat="1">
      <alignment horizontal="center" readingOrder="0" vertical="center"/>
    </xf>
    <xf borderId="0" fillId="6" fontId="2" numFmtId="9" xfId="0" applyAlignment="1" applyFont="1" applyNumberFormat="1">
      <alignment horizontal="center" vertical="center"/>
    </xf>
    <xf borderId="33" fillId="6" fontId="2" numFmtId="165" xfId="0" applyAlignment="1" applyBorder="1" applyFont="1" applyNumberFormat="1">
      <alignment horizontal="center" readingOrder="0" vertical="center"/>
    </xf>
    <xf borderId="34" fillId="6" fontId="15" numFmtId="3" xfId="0" applyAlignment="1" applyBorder="1" applyFont="1" applyNumberFormat="1">
      <alignment horizontal="center" readingOrder="0" shrinkToFit="0" vertical="center" wrapText="1"/>
    </xf>
    <xf borderId="34" fillId="6" fontId="2" numFmtId="3" xfId="0" applyAlignment="1" applyBorder="1" applyFont="1" applyNumberFormat="1">
      <alignment horizontal="center" vertical="center"/>
    </xf>
    <xf borderId="32" fillId="6" fontId="2" numFmtId="3" xfId="0" applyAlignment="1" applyBorder="1" applyFont="1" applyNumberFormat="1">
      <alignment horizontal="center" readingOrder="0" vertical="center"/>
    </xf>
    <xf borderId="31" fillId="9" fontId="2" numFmtId="165" xfId="0" applyAlignment="1" applyBorder="1" applyFont="1" applyNumberFormat="1">
      <alignment horizontal="center" readingOrder="0" vertical="center"/>
    </xf>
    <xf borderId="32" fillId="9" fontId="15" numFmtId="3" xfId="0" applyAlignment="1" applyBorder="1" applyFont="1" applyNumberFormat="1">
      <alignment horizontal="center" readingOrder="0" shrinkToFit="0" vertical="center" wrapText="1"/>
    </xf>
    <xf borderId="32" fillId="9" fontId="2" numFmtId="3" xfId="0" applyAlignment="1" applyBorder="1" applyFont="1" applyNumberFormat="1">
      <alignment horizontal="center" vertical="center"/>
    </xf>
    <xf borderId="0" fillId="9" fontId="2" numFmtId="3" xfId="0" applyAlignment="1" applyFont="1" applyNumberFormat="1">
      <alignment horizontal="center" readingOrder="0" vertical="center"/>
    </xf>
    <xf borderId="0" fillId="9" fontId="2" numFmtId="9" xfId="0" applyAlignment="1" applyFont="1" applyNumberFormat="1">
      <alignment horizontal="center" vertical="center"/>
    </xf>
    <xf borderId="31" fillId="6" fontId="2" numFmtId="0" xfId="0" applyAlignment="1" applyBorder="1" applyFont="1">
      <alignment horizontal="center" readingOrder="0" vertical="center"/>
    </xf>
    <xf borderId="35" fillId="6" fontId="2" numFmtId="0" xfId="0" applyAlignment="1" applyBorder="1" applyFont="1">
      <alignment horizontal="center" readingOrder="0" vertical="center"/>
    </xf>
    <xf borderId="36" fillId="6" fontId="15" numFmtId="3" xfId="0" applyAlignment="1" applyBorder="1" applyFont="1" applyNumberFormat="1">
      <alignment horizontal="center" readingOrder="0" shrinkToFit="0" vertical="center" wrapText="1"/>
    </xf>
    <xf borderId="36" fillId="6" fontId="2" numFmtId="3" xfId="0" applyAlignment="1" applyBorder="1" applyFont="1" applyNumberFormat="1">
      <alignment horizontal="center" vertical="center"/>
    </xf>
    <xf borderId="37" fillId="2" fontId="2" numFmtId="3" xfId="0" applyAlignment="1" applyBorder="1" applyFont="1" applyNumberFormat="1">
      <alignment horizontal="center" readingOrder="0" vertical="center"/>
    </xf>
    <xf borderId="37" fillId="6" fontId="2" numFmtId="9" xfId="0" applyAlignment="1" applyBorder="1" applyFont="1" applyNumberFormat="1">
      <alignment horizontal="center" vertical="center"/>
    </xf>
    <xf borderId="37" fillId="9" fontId="2" numFmtId="9" xfId="0" applyAlignment="1" applyBorder="1" applyFont="1" applyNumberFormat="1">
      <alignment horizontal="center" vertical="center"/>
    </xf>
    <xf borderId="38" fillId="9" fontId="2" numFmtId="165" xfId="0" applyAlignment="1" applyBorder="1" applyFont="1" applyNumberFormat="1">
      <alignment horizontal="center" readingOrder="0" vertical="center"/>
    </xf>
    <xf borderId="39" fillId="9" fontId="15" numFmtId="3" xfId="0" applyAlignment="1" applyBorder="1" applyFont="1" applyNumberFormat="1">
      <alignment horizontal="center" readingOrder="0" shrinkToFit="0" vertical="center" wrapText="1"/>
    </xf>
    <xf borderId="39" fillId="9" fontId="2" numFmtId="3" xfId="0" applyAlignment="1" applyBorder="1" applyFont="1" applyNumberFormat="1">
      <alignment horizontal="center" vertical="center"/>
    </xf>
    <xf borderId="40" fillId="6" fontId="2" numFmtId="0" xfId="0" applyAlignment="1" applyBorder="1" applyFont="1">
      <alignment horizontal="center" readingOrder="0" vertical="center"/>
    </xf>
    <xf borderId="41" fillId="6" fontId="15" numFmtId="3" xfId="0" applyAlignment="1" applyBorder="1" applyFont="1" applyNumberFormat="1">
      <alignment horizontal="center" readingOrder="0" shrinkToFit="0" vertical="center" wrapText="1"/>
    </xf>
    <xf borderId="41" fillId="6" fontId="2" numFmtId="3" xfId="0" applyAlignment="1" applyBorder="1" applyFont="1" applyNumberFormat="1">
      <alignment horizontal="center" vertical="center"/>
    </xf>
    <xf borderId="42" fillId="2" fontId="2" numFmtId="3" xfId="0" applyAlignment="1" applyBorder="1" applyFont="1" applyNumberFormat="1">
      <alignment horizontal="center" readingOrder="0" vertical="center"/>
    </xf>
    <xf borderId="42" fillId="6" fontId="2" numFmtId="9" xfId="0" applyAlignment="1" applyBorder="1" applyFont="1" applyNumberFormat="1">
      <alignment horizontal="center" vertical="center"/>
    </xf>
    <xf borderId="42" fillId="0" fontId="8" numFmtId="0" xfId="0" applyBorder="1" applyFont="1"/>
    <xf borderId="0" fillId="6" fontId="2" numFmtId="3" xfId="0" applyAlignment="1" applyFont="1" applyNumberFormat="1">
      <alignment horizontal="center" vertical="center"/>
    </xf>
    <xf borderId="40" fillId="6" fontId="2" numFmtId="165" xfId="0" applyAlignment="1" applyBorder="1" applyFont="1" applyNumberFormat="1">
      <alignment horizontal="center" readingOrder="0" vertical="center"/>
    </xf>
    <xf borderId="28" fillId="2" fontId="2" numFmtId="0" xfId="0" applyAlignment="1" applyBorder="1" applyFont="1">
      <alignment horizontal="center" readingOrder="0" vertical="center"/>
    </xf>
    <xf borderId="38" fillId="2" fontId="2" numFmtId="0" xfId="0" applyAlignment="1" applyBorder="1" applyFont="1">
      <alignment horizontal="center" readingOrder="0" vertical="center"/>
    </xf>
    <xf borderId="39" fillId="2" fontId="15" numFmtId="3" xfId="0" applyAlignment="1" applyBorder="1" applyFont="1" applyNumberFormat="1">
      <alignment horizontal="center" readingOrder="0" vertical="center"/>
    </xf>
    <xf borderId="39" fillId="6" fontId="2" numFmtId="3" xfId="0" applyAlignment="1" applyBorder="1" applyFont="1" applyNumberFormat="1">
      <alignment horizontal="center" vertical="center"/>
    </xf>
    <xf borderId="0" fillId="6" fontId="28" numFmtId="3" xfId="0" applyAlignment="1" applyFont="1" applyNumberFormat="1">
      <alignment horizontal="center" vertical="center"/>
    </xf>
    <xf borderId="43" fillId="4" fontId="2" numFmtId="0" xfId="0" applyAlignment="1" applyBorder="1" applyFont="1">
      <alignment horizontal="center" vertical="center"/>
    </xf>
    <xf borderId="44" fillId="4" fontId="26" numFmtId="0" xfId="0" applyAlignment="1" applyBorder="1" applyFont="1">
      <alignment horizontal="center" readingOrder="0" vertical="center"/>
    </xf>
    <xf borderId="44" fillId="4" fontId="26" numFmtId="3" xfId="0" applyAlignment="1" applyBorder="1" applyFont="1" applyNumberFormat="1">
      <alignment horizontal="center" readingOrder="0" vertical="center"/>
    </xf>
    <xf borderId="44" fillId="4" fontId="26" numFmtId="9" xfId="0" applyAlignment="1" applyBorder="1" applyFont="1" applyNumberFormat="1">
      <alignment horizontal="center" readingOrder="0" vertical="center"/>
    </xf>
    <xf borderId="45" fillId="9" fontId="2" numFmtId="0" xfId="0" applyAlignment="1" applyBorder="1" applyFont="1">
      <alignment horizontal="center" readingOrder="0" vertical="center"/>
    </xf>
    <xf borderId="0" fillId="0" fontId="29" numFmtId="9" xfId="0" applyFont="1" applyNumberFormat="1"/>
    <xf borderId="46" fillId="6" fontId="2" numFmtId="0" xfId="0" applyAlignment="1" applyBorder="1" applyFont="1">
      <alignment horizontal="center" readingOrder="0" textRotation="90" vertical="center"/>
    </xf>
    <xf borderId="47" fillId="4" fontId="30" numFmtId="0" xfId="0" applyAlignment="1" applyBorder="1" applyFont="1">
      <alignment horizontal="center" readingOrder="0" vertical="center"/>
    </xf>
    <xf borderId="48" fillId="4" fontId="16" numFmtId="0" xfId="0" applyAlignment="1" applyBorder="1" applyFont="1">
      <alignment horizontal="center" readingOrder="0" shrinkToFit="0" textRotation="0" vertical="center" wrapText="1"/>
    </xf>
    <xf borderId="0" fillId="0" fontId="29" numFmtId="3" xfId="0" applyAlignment="1" applyFont="1" applyNumberFormat="1">
      <alignment readingOrder="0"/>
    </xf>
    <xf borderId="0" fillId="6" fontId="2" numFmtId="0" xfId="0" applyAlignment="1" applyFont="1">
      <alignment horizontal="center" readingOrder="0" textRotation="90" vertical="center"/>
    </xf>
    <xf borderId="49" fillId="2" fontId="7" numFmtId="0" xfId="0" applyAlignment="1" applyBorder="1" applyFont="1">
      <alignment horizontal="center" readingOrder="0" vertical="center"/>
    </xf>
    <xf borderId="50" fillId="2" fontId="7" numFmtId="0" xfId="0" applyAlignment="1" applyBorder="1" applyFont="1">
      <alignment horizontal="center" readingOrder="0" vertical="center"/>
    </xf>
    <xf borderId="51" fillId="2" fontId="7" numFmtId="0" xfId="0" applyAlignment="1" applyBorder="1" applyFont="1">
      <alignment horizontal="center" readingOrder="0" vertical="center"/>
    </xf>
    <xf borderId="52" fillId="0" fontId="8" numFmtId="0" xfId="0" applyBorder="1" applyFont="1"/>
    <xf borderId="53" fillId="3" fontId="16" numFmtId="3" xfId="0" applyAlignment="1" applyBorder="1" applyFont="1" applyNumberFormat="1">
      <alignment horizontal="center" readingOrder="0" vertical="center"/>
    </xf>
    <xf borderId="54" fillId="3" fontId="16" numFmtId="3" xfId="0" applyAlignment="1" applyBorder="1" applyFont="1" applyNumberFormat="1">
      <alignment horizontal="center" readingOrder="0" vertical="center"/>
    </xf>
    <xf borderId="55" fillId="6" fontId="31" numFmtId="3" xfId="0" applyAlignment="1" applyBorder="1" applyFont="1" applyNumberFormat="1">
      <alignment horizontal="center" readingOrder="0" vertical="center"/>
    </xf>
    <xf borderId="56" fillId="5" fontId="16" numFmtId="3" xfId="0" applyAlignment="1" applyBorder="1" applyFont="1" applyNumberFormat="1">
      <alignment horizontal="center" vertical="bottom"/>
    </xf>
    <xf borderId="57" fillId="4" fontId="16" numFmtId="164" xfId="0" applyAlignment="1" applyBorder="1" applyFont="1" applyNumberFormat="1">
      <alignment horizontal="center" vertical="bottom"/>
    </xf>
    <xf borderId="57" fillId="4" fontId="13" numFmtId="164" xfId="0" applyAlignment="1" applyBorder="1" applyFont="1" applyNumberFormat="1">
      <alignment vertical="bottom"/>
    </xf>
    <xf borderId="57" fillId="4" fontId="16" numFmtId="3" xfId="0" applyAlignment="1" applyBorder="1" applyFont="1" applyNumberFormat="1">
      <alignment horizontal="center" vertical="bottom"/>
    </xf>
    <xf borderId="57" fillId="4" fontId="16" numFmtId="10" xfId="0" applyAlignment="1" applyBorder="1" applyFont="1" applyNumberFormat="1">
      <alignment horizontal="center" vertical="bottom"/>
    </xf>
    <xf borderId="58" fillId="4" fontId="16" numFmtId="3" xfId="0" applyAlignment="1" applyBorder="1" applyFont="1" applyNumberFormat="1">
      <alignment horizontal="center" vertical="bottom"/>
    </xf>
    <xf borderId="0" fillId="4" fontId="16" numFmtId="0" xfId="0" applyAlignment="1" applyFont="1">
      <alignment horizontal="center" vertical="bottom"/>
    </xf>
    <xf borderId="59" fillId="5" fontId="16" numFmtId="3" xfId="0" applyAlignment="1" applyBorder="1" applyFont="1" applyNumberFormat="1">
      <alignment horizontal="center" readingOrder="0" vertical="bottom"/>
    </xf>
    <xf borderId="60" fillId="4" fontId="16" numFmtId="164" xfId="0" applyAlignment="1" applyBorder="1" applyFont="1" applyNumberFormat="1">
      <alignment horizontal="center" readingOrder="0" vertical="bottom"/>
    </xf>
    <xf borderId="60" fillId="4" fontId="13" numFmtId="164" xfId="0" applyAlignment="1" applyBorder="1" applyFont="1" applyNumberFormat="1">
      <alignment vertical="bottom"/>
    </xf>
    <xf borderId="60" fillId="4" fontId="16" numFmtId="3" xfId="0" applyAlignment="1" applyBorder="1" applyFont="1" applyNumberFormat="1">
      <alignment horizontal="center"/>
    </xf>
    <xf borderId="60" fillId="4" fontId="16" numFmtId="10" xfId="0" applyAlignment="1" applyBorder="1" applyFont="1" applyNumberFormat="1">
      <alignment horizontal="center" readingOrder="0" vertical="bottom"/>
    </xf>
    <xf borderId="61" fillId="4" fontId="16" numFmtId="3" xfId="0" applyAlignment="1" applyBorder="1" applyFont="1" applyNumberFormat="1">
      <alignment horizontal="center"/>
    </xf>
    <xf borderId="0" fillId="4" fontId="16" numFmtId="0" xfId="0" applyAlignment="1" applyFont="1">
      <alignment horizontal="center"/>
    </xf>
    <xf borderId="0" fillId="0" fontId="29" numFmtId="0" xfId="0" applyFont="1"/>
    <xf borderId="59" fillId="7" fontId="16" numFmtId="3" xfId="0" applyAlignment="1" applyBorder="1" applyFont="1" applyNumberFormat="1">
      <alignment horizontal="center" vertical="center"/>
    </xf>
    <xf borderId="60" fillId="3" fontId="16" numFmtId="164" xfId="0" applyAlignment="1" applyBorder="1" applyFont="1" applyNumberFormat="1">
      <alignment horizontal="center" vertical="center"/>
    </xf>
    <xf borderId="60" fillId="3" fontId="13" numFmtId="164" xfId="0" applyAlignment="1" applyBorder="1" applyFont="1" applyNumberFormat="1">
      <alignment vertical="center"/>
    </xf>
    <xf borderId="60" fillId="3" fontId="16" numFmtId="3" xfId="0" applyAlignment="1" applyBorder="1" applyFont="1" applyNumberFormat="1">
      <alignment horizontal="center" vertical="center"/>
    </xf>
    <xf borderId="60" fillId="3" fontId="16" numFmtId="10" xfId="0" applyAlignment="1" applyBorder="1" applyFont="1" applyNumberFormat="1">
      <alignment horizontal="center" vertical="center"/>
    </xf>
    <xf borderId="61" fillId="3" fontId="16" numFmtId="3" xfId="0" applyAlignment="1" applyBorder="1" applyFont="1" applyNumberFormat="1">
      <alignment horizontal="center" vertical="center"/>
    </xf>
    <xf borderId="0" fillId="3" fontId="16" numFmtId="0" xfId="0" applyAlignment="1" applyFont="1">
      <alignment horizontal="center" readingOrder="0" vertical="center"/>
    </xf>
    <xf borderId="0" fillId="0" fontId="29" numFmtId="0" xfId="0" applyAlignment="1" applyFont="1">
      <alignment readingOrder="0"/>
    </xf>
    <xf borderId="0" fillId="0" fontId="29" numFmtId="3" xfId="0" applyFont="1" applyNumberFormat="1"/>
    <xf borderId="59" fillId="5" fontId="16" numFmtId="3" xfId="0" applyAlignment="1" applyBorder="1" applyFont="1" applyNumberFormat="1">
      <alignment horizontal="center" vertical="bottom"/>
    </xf>
    <xf borderId="60" fillId="3" fontId="16" numFmtId="164" xfId="0" applyAlignment="1" applyBorder="1" applyFont="1" applyNumberFormat="1">
      <alignment horizontal="center" readingOrder="0" vertical="bottom"/>
    </xf>
    <xf borderId="60" fillId="3" fontId="13" numFmtId="164" xfId="0" applyAlignment="1" applyBorder="1" applyFont="1" applyNumberFormat="1">
      <alignment vertical="bottom"/>
    </xf>
    <xf borderId="60" fillId="3" fontId="16" numFmtId="3" xfId="0" applyAlignment="1" applyBorder="1" applyFont="1" applyNumberFormat="1">
      <alignment horizontal="center"/>
    </xf>
    <xf borderId="60" fillId="3" fontId="16" numFmtId="10" xfId="0" applyAlignment="1" applyBorder="1" applyFont="1" applyNumberFormat="1">
      <alignment horizontal="center" readingOrder="0" vertical="bottom"/>
    </xf>
    <xf borderId="61" fillId="3" fontId="16" numFmtId="3" xfId="0" applyAlignment="1" applyBorder="1" applyFont="1" applyNumberFormat="1">
      <alignment horizontal="center"/>
    </xf>
    <xf borderId="0" fillId="3" fontId="16" numFmtId="0" xfId="0" applyAlignment="1" applyFont="1">
      <alignment horizontal="center"/>
    </xf>
    <xf borderId="53" fillId="10" fontId="32" numFmtId="3" xfId="0" applyAlignment="1" applyBorder="1" applyFill="1" applyFont="1" applyNumberFormat="1">
      <alignment horizontal="center" readingOrder="0" vertical="center"/>
    </xf>
    <xf borderId="0" fillId="0" fontId="29" numFmtId="3" xfId="0" applyAlignment="1" applyFont="1" applyNumberFormat="1">
      <alignment readingOrder="0" vertical="center"/>
    </xf>
    <xf borderId="62" fillId="0" fontId="8" numFmtId="0" xfId="0" applyBorder="1" applyFont="1"/>
    <xf borderId="63" fillId="6" fontId="11" numFmtId="3" xfId="0" applyAlignment="1" applyBorder="1" applyFont="1" applyNumberFormat="1">
      <alignment horizontal="center" readingOrder="0" vertical="center"/>
    </xf>
    <xf borderId="64" fillId="6" fontId="11" numFmtId="3" xfId="0" applyAlignment="1" applyBorder="1" applyFont="1" applyNumberFormat="1">
      <alignment horizontal="center" readingOrder="0" vertical="center"/>
    </xf>
    <xf borderId="64" fillId="0" fontId="8" numFmtId="0" xfId="0" applyBorder="1" applyFont="1"/>
    <xf borderId="65" fillId="0" fontId="8" numFmtId="0" xfId="0" applyBorder="1" applyFont="1"/>
    <xf borderId="0" fillId="9" fontId="2" numFmtId="0" xfId="0" applyAlignment="1" applyFont="1">
      <alignment horizontal="center" vertical="center"/>
    </xf>
    <xf borderId="0" fillId="9" fontId="11" numFmtId="3" xfId="0" applyAlignment="1" applyFont="1" applyNumberFormat="1">
      <alignment horizontal="center" readingOrder="0" vertical="center"/>
    </xf>
    <xf borderId="0" fillId="9" fontId="29" numFmtId="0" xfId="0" applyFont="1"/>
    <xf borderId="0" fillId="9" fontId="33" numFmtId="0" xfId="0" applyFont="1"/>
    <xf borderId="0" fillId="0" fontId="33" numFmtId="0" xfId="0" applyFont="1"/>
    <xf borderId="60" fillId="4" fontId="16" numFmtId="3" xfId="0" applyAlignment="1" applyBorder="1" applyFont="1" applyNumberFormat="1">
      <alignment horizontal="center" vertical="bottom"/>
    </xf>
    <xf borderId="61" fillId="4" fontId="16" numFmtId="3" xfId="0" applyAlignment="1" applyBorder="1" applyFont="1" applyNumberFormat="1">
      <alignment horizontal="center" vertical="bottom"/>
    </xf>
    <xf borderId="46" fillId="6" fontId="2" numFmtId="0" xfId="0" applyAlignment="1" applyBorder="1" applyFont="1">
      <alignment horizontal="center" readingOrder="0" shrinkToFit="0" textRotation="90" vertical="center" wrapText="1"/>
    </xf>
    <xf borderId="47" fillId="4" fontId="30" numFmtId="0" xfId="0" applyAlignment="1" applyBorder="1" applyFont="1">
      <alignment horizontal="center" readingOrder="0" shrinkToFit="0" vertical="center" wrapText="1"/>
    </xf>
    <xf borderId="32" fillId="2" fontId="15" numFmtId="3" xfId="0" applyAlignment="1" applyBorder="1" applyFont="1" applyNumberFormat="1">
      <alignment horizontal="center" readingOrder="0" shrinkToFit="0" vertical="center" wrapText="1"/>
    </xf>
    <xf borderId="32" fillId="2" fontId="16" numFmtId="3" xfId="0" applyAlignment="1" applyBorder="1" applyFont="1" applyNumberFormat="1">
      <alignment horizontal="center" readingOrder="0" shrinkToFit="0" vertical="center" wrapText="1"/>
    </xf>
    <xf borderId="53" fillId="3" fontId="16" numFmtId="3" xfId="0" applyAlignment="1" applyBorder="1" applyFont="1" applyNumberFormat="1">
      <alignment horizontal="center" readingOrder="0" vertical="bottom"/>
    </xf>
    <xf borderId="66" fillId="3" fontId="16" numFmtId="3" xfId="0" applyAlignment="1" applyBorder="1" applyFont="1" applyNumberFormat="1">
      <alignment horizontal="center" readingOrder="0" vertical="bottom"/>
    </xf>
    <xf borderId="53" fillId="3" fontId="16" numFmtId="3" xfId="0" applyAlignment="1" applyBorder="1" applyFont="1" applyNumberFormat="1">
      <alignment horizontal="center"/>
    </xf>
    <xf borderId="0" fillId="6" fontId="31" numFmtId="0" xfId="0" applyAlignment="1" applyFont="1">
      <alignment horizontal="center" vertical="center"/>
    </xf>
    <xf borderId="59" fillId="3" fontId="16" numFmtId="3" xfId="0" applyAlignment="1" applyBorder="1" applyFont="1" applyNumberFormat="1">
      <alignment horizontal="center"/>
    </xf>
    <xf borderId="59" fillId="6" fontId="16" numFmtId="164" xfId="0" applyAlignment="1" applyBorder="1" applyFont="1" applyNumberFormat="1">
      <alignment horizontal="center"/>
    </xf>
    <xf borderId="56" fillId="6" fontId="31" numFmtId="3" xfId="0" applyAlignment="1" applyBorder="1" applyFont="1" applyNumberFormat="1">
      <alignment horizontal="center" vertical="center"/>
    </xf>
    <xf borderId="59" fillId="6" fontId="16" numFmtId="10" xfId="0" applyAlignment="1" applyBorder="1" applyFont="1" applyNumberFormat="1">
      <alignment horizontal="center"/>
    </xf>
    <xf borderId="67" fillId="6" fontId="31" numFmtId="3" xfId="0" applyAlignment="1" applyBorder="1" applyFont="1" applyNumberFormat="1">
      <alignment horizontal="center" vertical="center"/>
    </xf>
    <xf borderId="68" fillId="4" fontId="26" numFmtId="0" xfId="0" applyAlignment="1" applyBorder="1" applyFont="1">
      <alignment readingOrder="0" shrinkToFit="0" vertical="center" wrapText="1"/>
    </xf>
    <xf borderId="69" fillId="4" fontId="26" numFmtId="3" xfId="0" applyAlignment="1" applyBorder="1" applyFont="1" applyNumberFormat="1">
      <alignment vertical="center"/>
    </xf>
    <xf borderId="70" fillId="4" fontId="26" numFmtId="3" xfId="0" applyAlignment="1" applyBorder="1" applyFont="1" applyNumberFormat="1">
      <alignment vertical="center"/>
    </xf>
    <xf borderId="71" fillId="6" fontId="2" numFmtId="9" xfId="0" applyAlignment="1" applyBorder="1" applyFont="1" applyNumberFormat="1">
      <alignment horizontal="center" readingOrder="0" vertical="center"/>
    </xf>
    <xf borderId="72" fillId="6" fontId="2" numFmtId="9" xfId="0" applyAlignment="1" applyBorder="1" applyFont="1" applyNumberFormat="1">
      <alignment horizontal="right"/>
    </xf>
    <xf borderId="63" fillId="6" fontId="34" numFmtId="3" xfId="0" applyAlignment="1" applyBorder="1" applyFont="1" applyNumberFormat="1">
      <alignment horizontal="center" readingOrder="0" vertical="center"/>
    </xf>
    <xf borderId="0" fillId="9" fontId="2" numFmtId="0" xfId="0" applyAlignment="1" applyFont="1">
      <alignment horizontal="center" readingOrder="0" textRotation="90" vertical="center"/>
    </xf>
    <xf borderId="0" fillId="9" fontId="34" numFmtId="0" xfId="0" applyAlignment="1" applyFont="1">
      <alignment horizontal="center" readingOrder="0" vertical="center"/>
    </xf>
    <xf borderId="73" fillId="6" fontId="2" numFmtId="0" xfId="0" applyAlignment="1" applyBorder="1" applyFont="1">
      <alignment horizontal="center" readingOrder="0" textRotation="90" vertical="center"/>
    </xf>
    <xf borderId="0" fillId="4" fontId="30" numFmtId="0" xfId="0" applyAlignment="1" applyFont="1">
      <alignment horizontal="center" readingOrder="0" vertical="center"/>
    </xf>
    <xf borderId="0" fillId="11" fontId="7" numFmtId="0" xfId="0" applyAlignment="1" applyFill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12" fontId="30" numFmtId="0" xfId="0" applyAlignment="1" applyFill="1" applyFont="1">
      <alignment horizontal="center" readingOrder="0" shrinkToFit="0" vertical="center" wrapText="1"/>
    </xf>
    <xf borderId="0" fillId="13" fontId="7" numFmtId="0" xfId="0" applyAlignment="1" applyFill="1" applyFont="1">
      <alignment horizontal="center" readingOrder="0" shrinkToFit="0" vertical="center" wrapText="1"/>
    </xf>
    <xf borderId="0" fillId="14" fontId="7" numFmtId="0" xfId="0" applyAlignment="1" applyFill="1" applyFont="1">
      <alignment horizontal="center" readingOrder="0" shrinkToFit="0" vertical="center" wrapText="1"/>
    </xf>
    <xf borderId="0" fillId="4" fontId="30" numFmtId="0" xfId="0" applyAlignment="1" applyFont="1">
      <alignment horizontal="center" readingOrder="0" shrinkToFit="0" vertical="center" wrapText="1"/>
    </xf>
    <xf borderId="55" fillId="6" fontId="2" numFmtId="9" xfId="0" applyAlignment="1" applyBorder="1" applyFont="1" applyNumberFormat="1">
      <alignment horizontal="center" readingOrder="0" vertical="center"/>
    </xf>
    <xf borderId="74" fillId="0" fontId="8" numFmtId="0" xfId="0" applyBorder="1" applyFont="1"/>
    <xf borderId="75" fillId="3" fontId="16" numFmtId="3" xfId="0" applyAlignment="1" applyBorder="1" applyFont="1" applyNumberFormat="1">
      <alignment horizontal="center" readingOrder="0" vertical="center"/>
    </xf>
    <xf borderId="75" fillId="4" fontId="16" numFmtId="0" xfId="0" applyAlignment="1" applyBorder="1" applyFont="1">
      <alignment horizontal="center" readingOrder="0" shrinkToFit="0" vertical="center" wrapText="1"/>
    </xf>
    <xf borderId="76" fillId="4" fontId="16" numFmtId="0" xfId="0" applyAlignment="1" applyBorder="1" applyFont="1">
      <alignment horizontal="center" readingOrder="0" shrinkToFit="0" vertical="center" wrapText="1"/>
    </xf>
    <xf borderId="32" fillId="6" fontId="16" numFmtId="3" xfId="0" applyAlignment="1" applyBorder="1" applyFont="1" applyNumberFormat="1">
      <alignment horizontal="center" vertical="center"/>
    </xf>
    <xf borderId="0" fillId="7" fontId="29" numFmtId="3" xfId="0" applyFont="1" applyNumberFormat="1"/>
    <xf borderId="77" fillId="10" fontId="32" numFmtId="3" xfId="0" applyAlignment="1" applyBorder="1" applyFont="1" applyNumberFormat="1">
      <alignment horizontal="center" readingOrder="0" vertical="center"/>
    </xf>
    <xf borderId="66" fillId="0" fontId="8" numFmtId="0" xfId="0" applyBorder="1" applyFont="1"/>
    <xf borderId="78" fillId="0" fontId="8" numFmtId="0" xfId="0" applyBorder="1" applyFont="1"/>
    <xf borderId="79" fillId="0" fontId="8" numFmtId="0" xfId="0" applyBorder="1" applyFont="1"/>
    <xf borderId="80" fillId="10" fontId="32" numFmtId="3" xfId="0" applyAlignment="1" applyBorder="1" applyFont="1" applyNumberFormat="1">
      <alignment horizontal="center" readingOrder="0" vertical="center"/>
    </xf>
    <xf borderId="80" fillId="11" fontId="7" numFmtId="3" xfId="0" applyAlignment="1" applyBorder="1" applyFont="1" applyNumberFormat="1">
      <alignment horizontal="center" readingOrder="0" vertical="center"/>
    </xf>
    <xf borderId="81" fillId="0" fontId="8" numFmtId="0" xfId="0" applyBorder="1" applyFont="1"/>
    <xf borderId="0" fillId="6" fontId="2" numFmtId="3" xfId="0" applyAlignment="1" applyFont="1" applyNumberFormat="1">
      <alignment horizontal="center" vertical="bottom"/>
    </xf>
    <xf borderId="37" fillId="6" fontId="2" numFmtId="3" xfId="0" applyAlignment="1" applyBorder="1" applyFont="1" applyNumberFormat="1">
      <alignment horizontal="center" readingOrder="0" vertical="bottom"/>
    </xf>
    <xf borderId="82" fillId="2" fontId="7" numFmtId="0" xfId="0" applyAlignment="1" applyBorder="1" applyFont="1">
      <alignment horizontal="center" readingOrder="0" vertical="center"/>
    </xf>
    <xf borderId="48" fillId="2" fontId="15" numFmtId="3" xfId="0" applyAlignment="1" applyBorder="1" applyFont="1" applyNumberFormat="1">
      <alignment horizontal="center" readingOrder="0" shrinkToFit="0" vertical="center" wrapText="1"/>
    </xf>
    <xf borderId="83" fillId="2" fontId="15" numFmtId="3" xfId="0" applyAlignment="1" applyBorder="1" applyFont="1" applyNumberFormat="1">
      <alignment horizontal="center" readingOrder="0" shrinkToFit="0" vertical="center" wrapText="1"/>
    </xf>
    <xf borderId="84" fillId="6" fontId="2" numFmtId="0" xfId="0" applyAlignment="1" applyBorder="1" applyFont="1">
      <alignment horizontal="center" readingOrder="0" textRotation="90" vertical="center"/>
    </xf>
    <xf borderId="85" fillId="6" fontId="2" numFmtId="0" xfId="0" applyAlignment="1" applyBorder="1" applyFont="1">
      <alignment horizontal="center" readingOrder="0" textRotation="90" vertical="center"/>
    </xf>
    <xf borderId="86" fillId="2" fontId="7" numFmtId="0" xfId="0" applyAlignment="1" applyBorder="1" applyFont="1">
      <alignment horizontal="center" readingOrder="0" vertical="center"/>
    </xf>
    <xf borderId="87" fillId="2" fontId="7" numFmtId="9" xfId="0" applyAlignment="1" applyBorder="1" applyFont="1" applyNumberFormat="1">
      <alignment horizontal="center"/>
    </xf>
    <xf borderId="88" fillId="2" fontId="7" numFmtId="9" xfId="0" applyAlignment="1" applyBorder="1" applyFont="1" applyNumberFormat="1">
      <alignment horizontal="center"/>
    </xf>
    <xf borderId="89" fillId="2" fontId="7" numFmtId="9" xfId="0" applyAlignment="1" applyBorder="1" applyFont="1" applyNumberFormat="1">
      <alignment horizontal="center"/>
    </xf>
    <xf borderId="84" fillId="0" fontId="8" numFmtId="0" xfId="0" applyBorder="1" applyFont="1"/>
    <xf borderId="0" fillId="2" fontId="15" numFmtId="3" xfId="0" applyAlignment="1" applyFont="1" applyNumberFormat="1">
      <alignment horizontal="center" readingOrder="0" shrinkToFit="0" vertical="center" wrapText="1"/>
    </xf>
    <xf borderId="26" fillId="2" fontId="15" numFmtId="3" xfId="0" applyAlignment="1" applyBorder="1" applyFont="1" applyNumberFormat="1">
      <alignment horizontal="center" readingOrder="0" shrinkToFit="0" vertical="center" wrapText="1"/>
    </xf>
    <xf borderId="84" fillId="2" fontId="15" numFmtId="3" xfId="0" applyAlignment="1" applyBorder="1" applyFont="1" applyNumberFormat="1">
      <alignment horizontal="center" readingOrder="0" shrinkToFit="0" vertical="center" wrapText="1"/>
    </xf>
    <xf borderId="90" fillId="0" fontId="8" numFmtId="0" xfId="0" applyBorder="1" applyFont="1"/>
    <xf borderId="71" fillId="6" fontId="2" numFmtId="49" xfId="0" applyAlignment="1" applyBorder="1" applyFont="1" applyNumberFormat="1">
      <alignment horizontal="center" readingOrder="0" vertical="center"/>
    </xf>
    <xf borderId="72" fillId="6" fontId="2" numFmtId="3" xfId="0" applyAlignment="1" applyBorder="1" applyFont="1" applyNumberFormat="1">
      <alignment horizontal="right"/>
    </xf>
    <xf borderId="72" fillId="6" fontId="2" numFmtId="3" xfId="0" applyAlignment="1" applyBorder="1" applyFont="1" applyNumberFormat="1">
      <alignment horizontal="right" readingOrder="0" vertical="bottom"/>
    </xf>
    <xf borderId="58" fillId="6" fontId="2" numFmtId="3" xfId="0" applyAlignment="1" applyBorder="1" applyFont="1" applyNumberFormat="1">
      <alignment horizontal="right" vertical="bottom"/>
    </xf>
    <xf borderId="91" fillId="2" fontId="7" numFmtId="0" xfId="0" applyAlignment="1" applyBorder="1" applyFont="1">
      <alignment horizontal="center" readingOrder="0" vertical="center"/>
    </xf>
    <xf borderId="72" fillId="6" fontId="2" numFmtId="3" xfId="0" applyAlignment="1" applyBorder="1" applyFont="1" applyNumberFormat="1">
      <alignment horizontal="right" readingOrder="0"/>
    </xf>
    <xf borderId="55" fillId="6" fontId="2" numFmtId="49" xfId="0" applyAlignment="1" applyBorder="1" applyFont="1" applyNumberFormat="1">
      <alignment horizontal="center" readingOrder="0" vertical="center"/>
    </xf>
    <xf borderId="57" fillId="15" fontId="2" numFmtId="3" xfId="0" applyAlignment="1" applyBorder="1" applyFill="1" applyFont="1" applyNumberFormat="1">
      <alignment horizontal="right"/>
    </xf>
    <xf borderId="56" fillId="15" fontId="2" numFmtId="3" xfId="0" applyAlignment="1" applyBorder="1" applyFont="1" applyNumberFormat="1">
      <alignment horizontal="right"/>
    </xf>
    <xf borderId="57" fillId="16" fontId="2" numFmtId="3" xfId="0" applyAlignment="1" applyBorder="1" applyFill="1" applyFont="1" applyNumberFormat="1">
      <alignment horizontal="right"/>
    </xf>
    <xf borderId="92" fillId="4" fontId="26" numFmtId="3" xfId="0" applyAlignment="1" applyBorder="1" applyFont="1" applyNumberFormat="1">
      <alignment vertical="center"/>
    </xf>
    <xf borderId="93" fillId="0" fontId="8" numFmtId="0" xfId="0" applyBorder="1" applyFont="1"/>
    <xf borderId="94" fillId="4" fontId="26" numFmtId="3" xfId="0" applyAlignment="1" applyBorder="1" applyFont="1" applyNumberFormat="1">
      <alignment vertical="center"/>
    </xf>
    <xf borderId="95" fillId="0" fontId="8" numFmtId="0" xfId="0" applyBorder="1" applyFont="1"/>
    <xf borderId="0" fillId="4" fontId="26" numFmtId="0" xfId="0" applyAlignment="1" applyFont="1">
      <alignment readingOrder="0" shrinkToFit="0" vertical="center" wrapText="1"/>
    </xf>
    <xf borderId="0" fillId="4" fontId="26" numFmtId="3" xfId="0" applyAlignment="1" applyFont="1" applyNumberFormat="1">
      <alignment readingOrder="0" vertical="center"/>
    </xf>
    <xf borderId="0" fillId="4" fontId="26" numFmtId="3" xfId="0" applyAlignment="1" applyFont="1" applyNumberFormat="1">
      <alignment vertical="center"/>
    </xf>
    <xf borderId="0" fillId="6" fontId="2" numFmtId="3" xfId="0" applyAlignment="1" applyFont="1" applyNumberFormat="1">
      <alignment horizontal="center" readingOrder="0" textRotation="0" vertical="center"/>
    </xf>
    <xf borderId="0" fillId="4" fontId="26" numFmtId="10" xfId="0" applyAlignment="1" applyFont="1" applyNumberFormat="1">
      <alignment vertical="center"/>
    </xf>
    <xf borderId="0" fillId="4" fontId="26" numFmtId="3" xfId="0" applyAlignment="1" applyFont="1" applyNumberFormat="1">
      <alignment readingOrder="0" shrinkToFit="0" vertical="center" wrapText="1"/>
    </xf>
    <xf borderId="0" fillId="6" fontId="1" numFmtId="0" xfId="0" applyAlignment="1" applyFont="1">
      <alignment readingOrder="0" vertical="center"/>
    </xf>
    <xf borderId="0" fillId="6" fontId="11" numFmtId="0" xfId="0" applyAlignment="1" applyFont="1">
      <alignment horizontal="center" readingOrder="0" shrinkToFit="0" vertical="center" wrapText="1"/>
    </xf>
    <xf borderId="0" fillId="6" fontId="2" numFmtId="3" xfId="0" applyAlignment="1" applyFont="1" applyNumberFormat="1">
      <alignment readingOrder="0" vertical="center"/>
    </xf>
    <xf borderId="0" fillId="6" fontId="1" numFmtId="3" xfId="0" applyAlignment="1" applyFont="1" applyNumberFormat="1">
      <alignment readingOrder="0" vertical="center"/>
    </xf>
    <xf borderId="0" fillId="6" fontId="1" numFmtId="3" xfId="0" applyAlignment="1" applyFont="1" applyNumberFormat="1">
      <alignment vertical="center"/>
    </xf>
    <xf borderId="49" fillId="2" fontId="2" numFmtId="0" xfId="0" applyAlignment="1" applyBorder="1" applyFont="1">
      <alignment horizontal="center" readingOrder="0" shrinkToFit="0" vertical="center" wrapText="1"/>
    </xf>
    <xf borderId="96" fillId="17" fontId="2" numFmtId="0" xfId="0" applyAlignment="1" applyBorder="1" applyFill="1" applyFont="1">
      <alignment horizontal="center" readingOrder="0" shrinkToFit="0" vertical="center" wrapText="1"/>
    </xf>
    <xf borderId="96" fillId="18" fontId="2" numFmtId="0" xfId="0" applyAlignment="1" applyBorder="1" applyFill="1" applyFont="1">
      <alignment horizontal="center" readingOrder="0" shrinkToFit="0" vertical="center" wrapText="1"/>
    </xf>
    <xf borderId="96" fillId="19" fontId="35" numFmtId="0" xfId="0" applyAlignment="1" applyBorder="1" applyFill="1" applyFont="1">
      <alignment horizontal="center" readingOrder="0" shrinkToFit="0" vertical="center" wrapText="1"/>
    </xf>
    <xf borderId="96" fillId="20" fontId="2" numFmtId="0" xfId="0" applyAlignment="1" applyBorder="1" applyFill="1" applyFont="1">
      <alignment horizontal="center" readingOrder="0" shrinkToFit="0" vertical="center" wrapText="1"/>
    </xf>
    <xf borderId="96" fillId="21" fontId="2" numFmtId="0" xfId="0" applyAlignment="1" applyBorder="1" applyFill="1" applyFont="1">
      <alignment horizontal="center" readingOrder="0" shrinkToFit="0" vertical="center" wrapText="1"/>
    </xf>
    <xf borderId="50" fillId="2" fontId="7" numFmtId="3" xfId="0" applyAlignment="1" applyBorder="1" applyFont="1" applyNumberFormat="1">
      <alignment horizontal="center" readingOrder="0" vertical="center"/>
    </xf>
    <xf borderId="96" fillId="2" fontId="2" numFmtId="0" xfId="0" applyAlignment="1" applyBorder="1" applyFont="1">
      <alignment horizontal="center" readingOrder="0" shrinkToFit="0" vertical="center" wrapText="1"/>
    </xf>
    <xf borderId="97" fillId="6" fontId="2" numFmtId="3" xfId="0" applyAlignment="1" applyBorder="1" applyFont="1" applyNumberFormat="1">
      <alignment horizontal="right" readingOrder="0" vertical="center"/>
    </xf>
    <xf borderId="98" fillId="6" fontId="2" numFmtId="3" xfId="0" applyAlignment="1" applyBorder="1" applyFont="1" applyNumberFormat="1">
      <alignment horizontal="right" readingOrder="0" vertical="center"/>
    </xf>
    <xf borderId="56" fillId="3" fontId="2" numFmtId="3" xfId="0" applyAlignment="1" applyBorder="1" applyFont="1" applyNumberFormat="1">
      <alignment vertical="center"/>
    </xf>
    <xf borderId="67" fillId="6" fontId="2" numFmtId="3" xfId="0" applyAlignment="1" applyBorder="1" applyFont="1" applyNumberFormat="1">
      <alignment readingOrder="0" vertical="center"/>
    </xf>
    <xf borderId="59" fillId="6" fontId="2" numFmtId="3" xfId="0" applyAlignment="1" applyBorder="1" applyFont="1" applyNumberFormat="1">
      <alignment horizontal="right" readingOrder="0" vertical="center"/>
    </xf>
    <xf borderId="60" fillId="6" fontId="2" numFmtId="3" xfId="0" applyAlignment="1" applyBorder="1" applyFont="1" applyNumberFormat="1">
      <alignment horizontal="right" readingOrder="0" vertical="center"/>
    </xf>
    <xf borderId="60" fillId="6" fontId="2" numFmtId="3" xfId="0" applyAlignment="1" applyBorder="1" applyFont="1" applyNumberFormat="1">
      <alignment horizontal="right" vertical="center"/>
    </xf>
    <xf borderId="59" fillId="6" fontId="2" numFmtId="3" xfId="0" applyAlignment="1" applyBorder="1" applyFont="1" applyNumberFormat="1">
      <alignment horizontal="right" vertical="center"/>
    </xf>
    <xf borderId="56" fillId="6" fontId="2" numFmtId="3" xfId="0" applyAlignment="1" applyBorder="1" applyFont="1" applyNumberFormat="1">
      <alignment horizontal="right" readingOrder="0" vertical="center"/>
    </xf>
    <xf borderId="57" fillId="6" fontId="2" numFmtId="3" xfId="0" applyAlignment="1" applyBorder="1" applyFont="1" applyNumberFormat="1">
      <alignment horizontal="right" vertical="center"/>
    </xf>
    <xf borderId="57" fillId="6" fontId="2" numFmtId="3" xfId="0" applyAlignment="1" applyBorder="1" applyFont="1" applyNumberFormat="1">
      <alignment horizontal="right" readingOrder="0" vertical="center"/>
    </xf>
    <xf borderId="56" fillId="6" fontId="2" numFmtId="3" xfId="0" applyAlignment="1" applyBorder="1" applyFont="1" applyNumberFormat="1">
      <alignment readingOrder="0" vertical="center"/>
    </xf>
    <xf borderId="68" fillId="4" fontId="4" numFmtId="0" xfId="0" applyAlignment="1" applyBorder="1" applyFont="1">
      <alignment horizontal="center" readingOrder="0" shrinkToFit="0" vertical="center" wrapText="1"/>
    </xf>
    <xf borderId="69" fillId="3" fontId="2" numFmtId="3" xfId="0" applyAlignment="1" applyBorder="1" applyFont="1" applyNumberFormat="1">
      <alignment vertical="center"/>
    </xf>
    <xf borderId="70" fillId="6" fontId="1" numFmtId="3" xfId="0" applyAlignment="1" applyBorder="1" applyFont="1" applyNumberFormat="1">
      <alignment vertical="center"/>
    </xf>
    <xf borderId="0" fillId="6" fontId="2" numFmtId="0" xfId="0" applyAlignment="1" applyFont="1">
      <alignment readingOrder="0" shrinkToFit="0" vertical="center" wrapText="0"/>
    </xf>
    <xf borderId="0" fillId="6" fontId="2" numFmtId="3" xfId="0" applyAlignment="1" applyFont="1" applyNumberFormat="1">
      <alignment vertical="center"/>
    </xf>
    <xf borderId="48" fillId="0" fontId="1" numFmtId="3" xfId="0" applyAlignment="1" applyBorder="1" applyFont="1" applyNumberFormat="1">
      <alignment horizontal="center" shrinkToFit="0" wrapText="1"/>
    </xf>
    <xf borderId="99" fillId="0" fontId="1" numFmtId="3" xfId="0" applyAlignment="1" applyBorder="1" applyFont="1" applyNumberFormat="1">
      <alignment horizontal="center" shrinkToFit="0" wrapText="1"/>
    </xf>
    <xf borderId="100" fillId="0" fontId="1" numFmtId="3" xfId="0" applyAlignment="1" applyBorder="1" applyFont="1" applyNumberFormat="1">
      <alignment horizontal="center" shrinkToFit="0" wrapText="1"/>
    </xf>
    <xf borderId="0" fillId="6" fontId="7" numFmtId="3" xfId="0" applyAlignment="1" applyFont="1" applyNumberFormat="1">
      <alignment horizontal="center" readingOrder="0" vertical="center"/>
    </xf>
    <xf borderId="59" fillId="6" fontId="2" numFmtId="3" xfId="0" applyAlignment="1" applyBorder="1" applyFont="1" applyNumberFormat="1">
      <alignment horizontal="right" readingOrder="0"/>
    </xf>
    <xf borderId="60" fillId="6" fontId="2" numFmtId="3" xfId="0" applyAlignment="1" applyBorder="1" applyFont="1" applyNumberFormat="1">
      <alignment horizontal="right" readingOrder="0"/>
    </xf>
    <xf borderId="59" fillId="6" fontId="2" numFmtId="3" xfId="0" applyAlignment="1" applyBorder="1" applyFont="1" applyNumberFormat="1">
      <alignment horizontal="right"/>
    </xf>
    <xf borderId="60" fillId="6" fontId="2" numFmtId="3" xfId="0" applyAlignment="1" applyBorder="1" applyFont="1" applyNumberFormat="1">
      <alignment horizontal="right"/>
    </xf>
    <xf borderId="0" fillId="6" fontId="26" numFmtId="0" xfId="0" applyAlignment="1" applyFont="1">
      <alignment readingOrder="0" shrinkToFit="0" vertical="center" wrapText="1"/>
    </xf>
    <xf borderId="0" fillId="6" fontId="26" numFmtId="3" xfId="0" applyAlignment="1" applyFont="1" applyNumberForma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  <tableStyles count="1">
    <tableStyle count="3" pivot="0" name="Spending 25.06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Education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'Money plan yearly'!$C$18:$C$29</c:f>
              <c:numCache/>
            </c:numRef>
          </c:val>
          <c:smooth val="1"/>
        </c:ser>
        <c:ser>
          <c:idx val="1"/>
          <c:order val="1"/>
          <c:tx>
            <c:v>Enjoy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'Money plan yearly'!$D$18:$D$29</c:f>
              <c:numCache/>
            </c:numRef>
          </c:val>
          <c:smooth val="1"/>
        </c:ser>
        <c:ser>
          <c:idx val="2"/>
          <c:order val="2"/>
          <c:tx>
            <c:v>For give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'Money plan yearly'!$E$18:$E$29</c:f>
              <c:numCache/>
            </c:numRef>
          </c:val>
          <c:smooth val="1"/>
        </c:ser>
        <c:ser>
          <c:idx val="3"/>
          <c:order val="3"/>
          <c:tx>
            <c:v>Health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'Money plan yearly'!$F$18:$F$29</c:f>
              <c:numCache/>
            </c:numRef>
          </c:val>
          <c:smooth val="1"/>
        </c:ser>
        <c:ser>
          <c:idx val="4"/>
          <c:order val="4"/>
          <c:tx>
            <c:v>Living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'Money plan yearly'!$G$18:$G$29</c:f>
              <c:numCache/>
            </c:numRef>
          </c:val>
          <c:smooth val="1"/>
        </c:ser>
        <c:ser>
          <c:idx val="5"/>
          <c:order val="5"/>
          <c:tx>
            <c:v>Saving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'Money plan yearly'!$H$18:$H$29</c:f>
              <c:numCache/>
            </c:numRef>
          </c:val>
          <c:smooth val="1"/>
        </c:ser>
        <c:axId val="65570782"/>
        <c:axId val="1766371648"/>
      </c:lineChart>
      <c:catAx>
        <c:axId val="65570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371648"/>
      </c:catAx>
      <c:valAx>
        <c:axId val="1766371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70782"/>
      </c:valAx>
    </c:plotArea>
    <c:legend>
      <c:legendPos val="r"/>
      <c:legendEntry>
        <c:idx val="5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800100</xdr:colOff>
      <xdr:row>1</xdr:row>
      <xdr:rowOff>295275</xdr:rowOff>
    </xdr:from>
    <xdr:ext cx="5715000" cy="3533775"/>
    <xdr:pic>
      <xdr:nvPicPr>
        <xdr:cNvPr id="1141402192" name="Chart1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5715000" cy="353377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S73:AA8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pending 25.0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11.38"/>
    <col customWidth="1" min="4" max="4" width="18.88"/>
    <col customWidth="1" min="5" max="5" width="37.63"/>
    <col customWidth="1" min="6" max="7" width="18.88"/>
    <col customWidth="1" min="8" max="8" width="12.63"/>
    <col customWidth="1" min="9" max="11" width="18.88"/>
  </cols>
  <sheetData>
    <row r="1" ht="37.5" customHeight="1">
      <c r="A1" s="1" t="s">
        <v>0</v>
      </c>
      <c r="B1" s="1"/>
      <c r="C1" s="2"/>
      <c r="D1" s="2"/>
      <c r="E1" s="3"/>
      <c r="F1" s="4"/>
      <c r="G1" s="5"/>
      <c r="H1" s="5"/>
      <c r="I1" s="6"/>
      <c r="J1" s="7"/>
      <c r="K1" s="7"/>
    </row>
    <row r="2" ht="22.5" customHeight="1">
      <c r="A2" s="1"/>
      <c r="B2" s="8" t="s">
        <v>1</v>
      </c>
      <c r="C2" s="9"/>
      <c r="D2" s="9"/>
      <c r="E2" s="10" t="s">
        <v>2</v>
      </c>
      <c r="F2" s="11" t="s">
        <v>3</v>
      </c>
      <c r="G2" s="5"/>
      <c r="H2" s="5"/>
      <c r="I2" s="6"/>
      <c r="J2" s="7"/>
      <c r="K2" s="7"/>
    </row>
    <row r="3" ht="22.5" customHeight="1">
      <c r="A3" s="1"/>
      <c r="B3" s="1"/>
      <c r="C3" s="2"/>
      <c r="D3" s="2"/>
      <c r="E3" s="12"/>
      <c r="F3" s="13"/>
      <c r="G3" s="5"/>
      <c r="H3" s="5"/>
      <c r="I3" s="6"/>
      <c r="J3" s="7"/>
      <c r="K3" s="7"/>
    </row>
    <row r="4" ht="22.5" customHeight="1">
      <c r="A4" s="1"/>
      <c r="B4" s="14" t="s">
        <v>4</v>
      </c>
      <c r="C4" s="15"/>
      <c r="D4" s="15"/>
      <c r="E4" s="16"/>
      <c r="F4" s="17"/>
      <c r="G4" s="18"/>
      <c r="H4" s="18"/>
      <c r="I4" s="19"/>
      <c r="J4" s="20"/>
      <c r="K4" s="20"/>
    </row>
    <row r="5" ht="22.5" customHeight="1">
      <c r="A5" s="1"/>
      <c r="B5" s="1"/>
      <c r="C5" s="21"/>
      <c r="D5" s="22" t="s">
        <v>5</v>
      </c>
      <c r="E5" s="23"/>
      <c r="F5" s="24" t="s">
        <v>6</v>
      </c>
      <c r="G5" s="25"/>
      <c r="H5" s="18"/>
      <c r="I5" s="24" t="s">
        <v>5</v>
      </c>
      <c r="J5" s="25"/>
      <c r="K5" s="26"/>
    </row>
    <row r="6" ht="22.5" customHeight="1">
      <c r="A6" s="1"/>
      <c r="B6" s="27" t="s">
        <v>7</v>
      </c>
      <c r="C6" s="28" t="s">
        <v>8</v>
      </c>
      <c r="D6" s="29" t="s">
        <v>9</v>
      </c>
      <c r="E6" s="30" t="s">
        <v>10</v>
      </c>
      <c r="F6" s="31" t="s">
        <v>11</v>
      </c>
      <c r="G6" s="32" t="s">
        <v>12</v>
      </c>
      <c r="H6" s="33" t="s">
        <v>13</v>
      </c>
      <c r="I6" s="34" t="s">
        <v>12</v>
      </c>
      <c r="J6" s="35" t="s">
        <v>11</v>
      </c>
      <c r="K6" s="36"/>
    </row>
    <row r="7">
      <c r="A7" s="37"/>
      <c r="B7" s="38"/>
      <c r="C7" s="39">
        <v>45810.0</v>
      </c>
      <c r="D7" s="40"/>
      <c r="E7" s="41" t="s">
        <v>14</v>
      </c>
      <c r="F7" s="42" t="s">
        <v>15</v>
      </c>
      <c r="G7" s="43" t="s">
        <v>16</v>
      </c>
      <c r="H7" s="44">
        <v>6000000.0</v>
      </c>
      <c r="I7" s="45"/>
      <c r="J7" s="46"/>
      <c r="K7" s="47"/>
    </row>
    <row r="8">
      <c r="A8" s="37"/>
      <c r="B8" s="38"/>
      <c r="C8" s="39"/>
      <c r="D8" s="40"/>
      <c r="E8" s="48"/>
      <c r="F8" s="42" t="s">
        <v>15</v>
      </c>
      <c r="G8" s="43" t="s">
        <v>17</v>
      </c>
      <c r="H8" s="44"/>
      <c r="I8" s="45"/>
      <c r="J8" s="46"/>
      <c r="K8" s="47"/>
    </row>
    <row r="9">
      <c r="A9" s="37"/>
      <c r="B9" s="38"/>
      <c r="C9" s="39">
        <v>45822.0</v>
      </c>
      <c r="D9" s="49"/>
      <c r="E9" s="50" t="s">
        <v>18</v>
      </c>
      <c r="F9" s="51" t="s">
        <v>15</v>
      </c>
      <c r="G9" s="52" t="s">
        <v>19</v>
      </c>
      <c r="H9" s="53">
        <v>1033850.0</v>
      </c>
      <c r="I9" s="45"/>
      <c r="J9" s="42"/>
    </row>
    <row r="10">
      <c r="A10" s="37"/>
      <c r="B10" s="38"/>
      <c r="C10" s="39">
        <v>45811.0</v>
      </c>
      <c r="D10" s="49"/>
      <c r="E10" s="50" t="s">
        <v>20</v>
      </c>
      <c r="F10" s="51" t="s">
        <v>15</v>
      </c>
      <c r="G10" s="52" t="s">
        <v>21</v>
      </c>
      <c r="H10" s="44">
        <v>4544704.0</v>
      </c>
      <c r="I10" s="45"/>
      <c r="J10" s="46"/>
    </row>
    <row r="11">
      <c r="A11" s="37"/>
      <c r="B11" s="38"/>
      <c r="C11" s="39"/>
      <c r="D11" s="49"/>
      <c r="E11" s="41" t="s">
        <v>22</v>
      </c>
      <c r="F11" s="51" t="s">
        <v>15</v>
      </c>
      <c r="G11" s="52" t="s">
        <v>16</v>
      </c>
      <c r="H11" s="54">
        <v>1.073E7</v>
      </c>
      <c r="I11" s="55"/>
      <c r="J11" s="51"/>
      <c r="K11" s="47"/>
    </row>
    <row r="12">
      <c r="A12" s="37"/>
      <c r="B12" s="38"/>
      <c r="C12" s="39">
        <v>45828.0</v>
      </c>
      <c r="D12" s="56" t="s">
        <v>23</v>
      </c>
      <c r="E12" s="57" t="s">
        <v>24</v>
      </c>
      <c r="F12" s="42"/>
      <c r="G12" s="58"/>
      <c r="H12" s="59">
        <v>4157000.0</v>
      </c>
      <c r="I12" s="60" t="s">
        <v>21</v>
      </c>
      <c r="J12" s="61" t="s">
        <v>15</v>
      </c>
      <c r="K12" s="62"/>
    </row>
    <row r="13">
      <c r="A13" s="37"/>
      <c r="B13" s="38"/>
      <c r="C13" s="39">
        <v>45821.0</v>
      </c>
      <c r="D13" s="56" t="s">
        <v>23</v>
      </c>
      <c r="E13" s="50" t="s">
        <v>25</v>
      </c>
      <c r="F13" s="42"/>
      <c r="G13" s="58"/>
      <c r="H13" s="54">
        <v>3.6E7</v>
      </c>
      <c r="I13" s="63" t="s">
        <v>16</v>
      </c>
      <c r="J13" s="51" t="s">
        <v>15</v>
      </c>
      <c r="K13" s="47"/>
    </row>
    <row r="14">
      <c r="A14" s="37"/>
      <c r="B14" s="38"/>
      <c r="C14" s="64">
        <v>45821.0</v>
      </c>
      <c r="D14" s="65" t="s">
        <v>23</v>
      </c>
      <c r="E14" s="66" t="s">
        <v>26</v>
      </c>
      <c r="F14" s="67"/>
      <c r="G14" s="68"/>
      <c r="H14" s="69">
        <v>1.1E7</v>
      </c>
      <c r="I14" s="68" t="s">
        <v>16</v>
      </c>
      <c r="J14" s="65" t="s">
        <v>15</v>
      </c>
      <c r="K14" s="70"/>
    </row>
    <row r="15">
      <c r="A15" s="37"/>
      <c r="B15" s="38"/>
      <c r="C15" s="64">
        <v>45836.0</v>
      </c>
      <c r="D15" s="65" t="s">
        <v>23</v>
      </c>
      <c r="E15" s="66" t="s">
        <v>27</v>
      </c>
      <c r="F15" s="67"/>
      <c r="G15" s="68"/>
      <c r="H15" s="69">
        <v>3.3E7</v>
      </c>
      <c r="I15" s="68" t="s">
        <v>16</v>
      </c>
      <c r="J15" s="65" t="s">
        <v>15</v>
      </c>
      <c r="K15" s="70"/>
    </row>
    <row r="16">
      <c r="A16" s="37"/>
      <c r="B16" s="38"/>
      <c r="C16" s="64"/>
      <c r="D16" s="71"/>
      <c r="E16" s="72"/>
      <c r="F16" s="73"/>
      <c r="G16" s="68"/>
      <c r="H16" s="69"/>
      <c r="I16" s="68"/>
      <c r="J16" s="71"/>
      <c r="K16" s="74"/>
    </row>
    <row r="17">
      <c r="A17" s="37"/>
      <c r="B17" s="38"/>
      <c r="C17" s="64"/>
      <c r="D17" s="71"/>
      <c r="E17" s="66"/>
      <c r="F17" s="67"/>
      <c r="G17" s="68"/>
      <c r="H17" s="69"/>
      <c r="I17" s="68"/>
      <c r="J17" s="75"/>
      <c r="K17" s="70"/>
    </row>
    <row r="18">
      <c r="A18" s="37"/>
      <c r="B18" s="38"/>
      <c r="C18" s="64"/>
      <c r="D18" s="71"/>
      <c r="E18" s="76"/>
      <c r="F18" s="73"/>
      <c r="G18" s="68"/>
      <c r="H18" s="77"/>
      <c r="I18" s="68"/>
      <c r="J18" s="71"/>
      <c r="K18" s="74"/>
    </row>
    <row r="19">
      <c r="A19" s="37"/>
      <c r="B19" s="38"/>
      <c r="C19" s="64"/>
      <c r="D19" s="71"/>
      <c r="E19" s="76"/>
      <c r="F19" s="73"/>
      <c r="G19" s="68"/>
      <c r="H19" s="77"/>
      <c r="I19" s="68"/>
      <c r="J19" s="71"/>
      <c r="K19" s="74"/>
    </row>
    <row r="20">
      <c r="A20" s="37"/>
      <c r="B20" s="38"/>
      <c r="C20" s="64"/>
      <c r="D20" s="71"/>
      <c r="E20" s="76"/>
      <c r="F20" s="73"/>
      <c r="G20" s="68"/>
      <c r="H20" s="77"/>
      <c r="I20" s="68"/>
      <c r="J20" s="71"/>
      <c r="K20" s="74"/>
    </row>
    <row r="21">
      <c r="A21" s="37"/>
      <c r="B21" s="38"/>
      <c r="C21" s="64"/>
      <c r="D21" s="71"/>
      <c r="E21" s="76"/>
      <c r="F21" s="73"/>
      <c r="G21" s="68"/>
      <c r="H21" s="77"/>
      <c r="I21" s="68"/>
      <c r="J21" s="71"/>
      <c r="K21" s="74"/>
    </row>
    <row r="22">
      <c r="A22" s="37"/>
      <c r="B22" s="38"/>
      <c r="C22" s="64"/>
      <c r="D22" s="71"/>
      <c r="E22" s="76"/>
      <c r="F22" s="73"/>
      <c r="G22" s="68"/>
      <c r="H22" s="77"/>
      <c r="I22" s="68"/>
      <c r="J22" s="71"/>
      <c r="K22" s="74"/>
    </row>
    <row r="23">
      <c r="A23" s="37"/>
      <c r="B23" s="38"/>
      <c r="C23" s="64"/>
      <c r="D23" s="71"/>
      <c r="E23" s="76"/>
      <c r="F23" s="73"/>
      <c r="G23" s="68"/>
      <c r="H23" s="77"/>
      <c r="I23" s="68"/>
      <c r="J23" s="71"/>
      <c r="K23" s="74"/>
    </row>
    <row r="24">
      <c r="A24" s="37"/>
      <c r="B24" s="38"/>
      <c r="C24" s="64"/>
      <c r="D24" s="71"/>
      <c r="E24" s="76"/>
      <c r="F24" s="73"/>
      <c r="G24" s="68"/>
      <c r="H24" s="77"/>
      <c r="I24" s="68"/>
      <c r="J24" s="71"/>
      <c r="K24" s="74"/>
    </row>
    <row r="25">
      <c r="A25" s="37"/>
      <c r="B25" s="38"/>
      <c r="C25" s="64"/>
      <c r="D25" s="71"/>
      <c r="E25" s="76"/>
      <c r="F25" s="73"/>
      <c r="G25" s="68"/>
      <c r="H25" s="77"/>
      <c r="I25" s="68"/>
      <c r="J25" s="71"/>
      <c r="K25" s="74"/>
    </row>
    <row r="26">
      <c r="A26" s="37"/>
      <c r="B26" s="38"/>
      <c r="C26" s="64"/>
      <c r="D26" s="71"/>
      <c r="E26" s="72"/>
      <c r="F26" s="73"/>
      <c r="G26" s="68"/>
      <c r="H26" s="78"/>
      <c r="I26" s="68"/>
      <c r="J26" s="71"/>
      <c r="K26" s="74"/>
    </row>
    <row r="27">
      <c r="A27" s="37"/>
      <c r="B27" s="38"/>
      <c r="C27" s="64"/>
      <c r="D27" s="71"/>
      <c r="E27" s="76"/>
      <c r="F27" s="73"/>
      <c r="G27" s="68"/>
      <c r="H27" s="77"/>
      <c r="I27" s="68"/>
      <c r="J27" s="71"/>
      <c r="K27" s="74"/>
    </row>
    <row r="28">
      <c r="A28" s="37"/>
      <c r="B28" s="38"/>
      <c r="C28" s="64"/>
      <c r="D28" s="71"/>
      <c r="E28" s="76"/>
      <c r="F28" s="73"/>
      <c r="G28" s="68"/>
      <c r="H28" s="77"/>
      <c r="I28" s="68"/>
      <c r="J28" s="71"/>
      <c r="K28" s="74"/>
    </row>
    <row r="29">
      <c r="A29" s="37"/>
      <c r="B29" s="38"/>
      <c r="C29" s="79"/>
      <c r="D29" s="71"/>
      <c r="E29" s="76"/>
      <c r="F29" s="73"/>
      <c r="G29" s="68"/>
      <c r="H29" s="77"/>
      <c r="I29" s="68"/>
      <c r="J29" s="71"/>
      <c r="K29" s="74"/>
    </row>
    <row r="30">
      <c r="A30" s="37"/>
      <c r="B30" s="38"/>
      <c r="C30" s="79"/>
      <c r="D30" s="71"/>
      <c r="E30" s="76"/>
      <c r="F30" s="73"/>
      <c r="G30" s="68"/>
      <c r="H30" s="77"/>
      <c r="I30" s="68"/>
      <c r="J30" s="71"/>
      <c r="K30" s="74"/>
    </row>
    <row r="31">
      <c r="A31" s="37"/>
      <c r="B31" s="38"/>
      <c r="C31" s="64"/>
      <c r="D31" s="71"/>
      <c r="E31" s="76"/>
      <c r="F31" s="73"/>
      <c r="G31" s="68"/>
      <c r="H31" s="80"/>
      <c r="I31" s="68"/>
      <c r="J31" s="71"/>
      <c r="K31" s="74"/>
    </row>
    <row r="32">
      <c r="A32" s="37"/>
      <c r="B32" s="38"/>
      <c r="C32" s="64"/>
      <c r="D32" s="71"/>
      <c r="E32" s="76"/>
      <c r="F32" s="73"/>
      <c r="G32" s="68"/>
      <c r="H32" s="80"/>
      <c r="I32" s="68"/>
      <c r="J32" s="71"/>
      <c r="K32" s="74"/>
    </row>
    <row r="33">
      <c r="A33" s="37"/>
      <c r="B33" s="38"/>
      <c r="C33" s="64"/>
      <c r="D33" s="71"/>
      <c r="E33" s="76"/>
      <c r="F33" s="73"/>
      <c r="G33" s="68"/>
      <c r="H33" s="77"/>
      <c r="I33" s="68"/>
      <c r="J33" s="71"/>
      <c r="K33" s="74"/>
    </row>
    <row r="34">
      <c r="A34" s="37"/>
      <c r="B34" s="38"/>
      <c r="C34" s="79"/>
      <c r="D34" s="71"/>
      <c r="E34" s="76"/>
      <c r="F34" s="73"/>
      <c r="G34" s="68"/>
      <c r="H34" s="77"/>
      <c r="I34" s="68"/>
      <c r="J34" s="71"/>
      <c r="K34" s="74"/>
    </row>
    <row r="35">
      <c r="A35" s="37"/>
      <c r="B35" s="38"/>
      <c r="C35" s="79"/>
      <c r="D35" s="71"/>
      <c r="E35" s="76"/>
      <c r="F35" s="73"/>
      <c r="G35" s="68"/>
      <c r="H35" s="77"/>
      <c r="I35" s="68"/>
      <c r="J35" s="71"/>
      <c r="K35" s="74"/>
    </row>
    <row r="36">
      <c r="A36" s="37"/>
      <c r="B36" s="38"/>
      <c r="C36" s="79"/>
      <c r="D36" s="71"/>
      <c r="E36" s="76"/>
      <c r="F36" s="73"/>
      <c r="G36" s="68"/>
      <c r="H36" s="77"/>
      <c r="I36" s="68"/>
      <c r="J36" s="71"/>
      <c r="K36" s="74"/>
    </row>
    <row r="37">
      <c r="A37" s="37"/>
      <c r="B37" s="38"/>
      <c r="C37" s="64"/>
      <c r="D37" s="71"/>
      <c r="E37" s="76"/>
      <c r="F37" s="71"/>
      <c r="G37" s="68"/>
      <c r="H37" s="77"/>
      <c r="I37" s="68"/>
      <c r="J37" s="71"/>
      <c r="K37" s="74"/>
    </row>
    <row r="38">
      <c r="A38" s="37"/>
      <c r="B38" s="38"/>
      <c r="C38" s="79"/>
      <c r="D38" s="71"/>
      <c r="E38" s="81"/>
      <c r="F38" s="71"/>
      <c r="G38" s="68"/>
      <c r="H38" s="77"/>
      <c r="I38" s="68"/>
      <c r="J38" s="71"/>
      <c r="K38" s="74"/>
    </row>
    <row r="39">
      <c r="A39" s="37"/>
      <c r="B39" s="38"/>
      <c r="C39" s="79"/>
      <c r="D39" s="71"/>
      <c r="E39" s="81"/>
      <c r="F39" s="71"/>
      <c r="G39" s="68"/>
      <c r="H39" s="77"/>
      <c r="I39" s="68"/>
      <c r="J39" s="71"/>
      <c r="K39" s="74"/>
    </row>
    <row r="40">
      <c r="A40" s="37"/>
      <c r="B40" s="38"/>
      <c r="C40" s="64"/>
      <c r="D40" s="71"/>
      <c r="E40" s="76"/>
      <c r="F40" s="73"/>
      <c r="G40" s="68"/>
      <c r="H40" s="77"/>
      <c r="I40" s="68"/>
      <c r="J40" s="71"/>
      <c r="K40" s="74"/>
    </row>
    <row r="41">
      <c r="A41" s="37"/>
      <c r="B41" s="38"/>
      <c r="C41" s="64"/>
      <c r="D41" s="71"/>
      <c r="E41" s="76"/>
      <c r="F41" s="73"/>
      <c r="G41" s="68"/>
      <c r="H41" s="77"/>
      <c r="I41" s="68"/>
      <c r="J41" s="71"/>
      <c r="K41" s="74"/>
    </row>
    <row r="42">
      <c r="A42" s="37"/>
      <c r="B42" s="38"/>
      <c r="C42" s="64"/>
      <c r="D42" s="71"/>
      <c r="E42" s="76"/>
      <c r="F42" s="73"/>
      <c r="G42" s="68"/>
      <c r="H42" s="77"/>
      <c r="I42" s="68"/>
      <c r="J42" s="71"/>
      <c r="K42" s="74"/>
    </row>
    <row r="43">
      <c r="A43" s="37"/>
      <c r="B43" s="38"/>
      <c r="C43" s="64"/>
      <c r="D43" s="71"/>
      <c r="E43" s="76"/>
      <c r="F43" s="73"/>
      <c r="G43" s="68"/>
      <c r="H43" s="77"/>
      <c r="I43" s="68"/>
      <c r="J43" s="71"/>
      <c r="K43" s="74"/>
    </row>
    <row r="44">
      <c r="A44" s="37"/>
      <c r="B44" s="38"/>
      <c r="C44" s="64"/>
      <c r="D44" s="71"/>
      <c r="E44" s="76"/>
      <c r="F44" s="73"/>
      <c r="G44" s="68"/>
      <c r="H44" s="77"/>
      <c r="I44" s="68"/>
      <c r="J44" s="71"/>
      <c r="K44" s="74"/>
    </row>
    <row r="45">
      <c r="A45" s="37"/>
      <c r="B45" s="38"/>
      <c r="C45" s="64"/>
      <c r="D45" s="71"/>
      <c r="E45" s="76"/>
      <c r="F45" s="71"/>
      <c r="G45" s="68"/>
      <c r="H45" s="77"/>
      <c r="I45" s="68"/>
      <c r="J45" s="71"/>
      <c r="K45" s="74"/>
    </row>
    <row r="46">
      <c r="A46" s="37"/>
      <c r="B46" s="38"/>
      <c r="C46" s="64"/>
      <c r="D46" s="71"/>
      <c r="E46" s="76"/>
      <c r="F46" s="71"/>
      <c r="G46" s="68"/>
      <c r="H46" s="77"/>
      <c r="I46" s="68"/>
      <c r="J46" s="71"/>
      <c r="K46" s="74"/>
    </row>
    <row r="47">
      <c r="A47" s="37"/>
      <c r="B47" s="38"/>
      <c r="C47" s="64"/>
      <c r="D47" s="71"/>
      <c r="E47" s="76"/>
      <c r="F47" s="71"/>
      <c r="G47" s="68"/>
      <c r="H47" s="77"/>
      <c r="I47" s="68"/>
      <c r="J47" s="71"/>
      <c r="K47" s="74"/>
    </row>
    <row r="48">
      <c r="A48" s="37"/>
      <c r="B48" s="38"/>
      <c r="C48" s="64"/>
      <c r="D48" s="71"/>
      <c r="E48" s="76"/>
      <c r="F48" s="71"/>
      <c r="G48" s="68"/>
      <c r="H48" s="77"/>
      <c r="I48" s="68"/>
      <c r="J48" s="71"/>
      <c r="K48" s="74"/>
    </row>
    <row r="49">
      <c r="A49" s="37"/>
      <c r="B49" s="38"/>
      <c r="C49" s="64"/>
      <c r="D49" s="71"/>
      <c r="E49" s="76"/>
      <c r="F49" s="71"/>
      <c r="G49" s="68"/>
      <c r="H49" s="77"/>
      <c r="I49" s="68"/>
      <c r="J49" s="71"/>
      <c r="K49" s="74"/>
    </row>
    <row r="50">
      <c r="A50" s="37"/>
      <c r="B50" s="38"/>
      <c r="C50" s="64"/>
      <c r="D50" s="71"/>
      <c r="E50" s="76"/>
      <c r="F50" s="71"/>
      <c r="G50" s="68"/>
      <c r="H50" s="77"/>
      <c r="I50" s="68"/>
      <c r="J50" s="71"/>
      <c r="K50" s="74"/>
    </row>
    <row r="51">
      <c r="A51" s="37"/>
      <c r="B51" s="38"/>
      <c r="C51" s="64"/>
      <c r="D51" s="71"/>
      <c r="E51" s="76"/>
      <c r="F51" s="71"/>
      <c r="G51" s="68"/>
      <c r="H51" s="77"/>
      <c r="I51" s="68"/>
      <c r="J51" s="71"/>
      <c r="K51" s="74"/>
    </row>
    <row r="52">
      <c r="A52" s="37"/>
      <c r="B52" s="38"/>
      <c r="C52" s="64"/>
      <c r="D52" s="71"/>
      <c r="E52" s="82"/>
      <c r="F52" s="71"/>
      <c r="G52" s="68"/>
      <c r="H52" s="83"/>
      <c r="I52" s="68"/>
      <c r="J52" s="71"/>
      <c r="K52" s="74"/>
    </row>
    <row r="53">
      <c r="A53" s="37"/>
      <c r="B53" s="38"/>
      <c r="C53" s="64"/>
      <c r="D53" s="71"/>
      <c r="E53" s="82"/>
      <c r="F53" s="71"/>
      <c r="G53" s="68"/>
      <c r="H53" s="83"/>
      <c r="I53" s="68"/>
      <c r="J53" s="71"/>
      <c r="K53" s="74"/>
    </row>
    <row r="54">
      <c r="A54" s="37"/>
      <c r="B54" s="38"/>
      <c r="C54" s="64"/>
      <c r="D54" s="71"/>
      <c r="E54" s="76"/>
      <c r="F54" s="71"/>
      <c r="G54" s="68"/>
      <c r="H54" s="77"/>
      <c r="I54" s="68"/>
      <c r="J54" s="71"/>
      <c r="K54" s="74"/>
    </row>
    <row r="55">
      <c r="A55" s="37"/>
      <c r="B55" s="38"/>
      <c r="C55" s="64"/>
      <c r="D55" s="71"/>
      <c r="E55" s="76"/>
      <c r="F55" s="71"/>
      <c r="G55" s="68"/>
      <c r="H55" s="77"/>
      <c r="I55" s="68"/>
      <c r="J55" s="71"/>
      <c r="K55" s="74"/>
    </row>
    <row r="56">
      <c r="A56" s="37"/>
      <c r="B56" s="38"/>
      <c r="C56" s="64"/>
      <c r="D56" s="71"/>
      <c r="E56" s="76"/>
      <c r="F56" s="71"/>
      <c r="G56" s="68"/>
      <c r="H56" s="77"/>
      <c r="I56" s="68"/>
      <c r="J56" s="71"/>
      <c r="K56" s="74"/>
    </row>
    <row r="57">
      <c r="A57" s="37"/>
      <c r="B57" s="38"/>
      <c r="C57" s="64"/>
      <c r="D57" s="71"/>
      <c r="E57" s="76"/>
      <c r="F57" s="71"/>
      <c r="G57" s="68"/>
      <c r="H57" s="77"/>
      <c r="I57" s="68"/>
      <c r="J57" s="71"/>
      <c r="K57" s="74"/>
    </row>
    <row r="58">
      <c r="A58" s="37"/>
      <c r="B58" s="38"/>
      <c r="C58" s="64"/>
      <c r="D58" s="71"/>
      <c r="E58" s="76"/>
      <c r="F58" s="71"/>
      <c r="G58" s="68"/>
      <c r="H58" s="77"/>
      <c r="I58" s="68"/>
      <c r="J58" s="71"/>
      <c r="K58" s="74"/>
    </row>
    <row r="59">
      <c r="A59" s="37"/>
      <c r="B59" s="38"/>
      <c r="C59" s="64"/>
      <c r="D59" s="71"/>
      <c r="E59" s="76"/>
      <c r="F59" s="71"/>
      <c r="G59" s="68"/>
      <c r="H59" s="77"/>
      <c r="I59" s="68"/>
      <c r="J59" s="71"/>
      <c r="K59" s="74"/>
    </row>
    <row r="60">
      <c r="A60" s="37"/>
      <c r="B60" s="38"/>
      <c r="C60" s="64"/>
      <c r="D60" s="71"/>
      <c r="E60" s="76"/>
      <c r="F60" s="71"/>
      <c r="G60" s="68"/>
      <c r="H60" s="77"/>
      <c r="I60" s="68"/>
      <c r="J60" s="71"/>
      <c r="K60" s="74"/>
    </row>
    <row r="61">
      <c r="A61" s="37"/>
      <c r="B61" s="38"/>
      <c r="C61" s="64"/>
      <c r="D61" s="71"/>
      <c r="E61" s="76"/>
      <c r="F61" s="71"/>
      <c r="G61" s="68"/>
      <c r="H61" s="77"/>
      <c r="I61" s="68"/>
      <c r="J61" s="71"/>
      <c r="K61" s="74"/>
    </row>
    <row r="62">
      <c r="A62" s="37"/>
      <c r="B62" s="38"/>
      <c r="C62" s="64"/>
      <c r="D62" s="71"/>
      <c r="E62" s="76"/>
      <c r="F62" s="71"/>
      <c r="G62" s="68"/>
      <c r="H62" s="77"/>
      <c r="I62" s="68"/>
      <c r="J62" s="71"/>
      <c r="K62" s="74"/>
    </row>
    <row r="63">
      <c r="A63" s="84"/>
      <c r="B63" s="38"/>
      <c r="C63" s="64"/>
      <c r="D63" s="85"/>
      <c r="E63" s="86"/>
      <c r="F63" s="85"/>
      <c r="G63" s="68"/>
      <c r="H63" s="87"/>
      <c r="I63" s="68"/>
      <c r="J63" s="85"/>
      <c r="K63" s="88"/>
    </row>
    <row r="64">
      <c r="A64" s="84"/>
      <c r="B64" s="38"/>
      <c r="C64" s="64"/>
      <c r="D64" s="85"/>
      <c r="E64" s="86"/>
      <c r="F64" s="85"/>
      <c r="G64" s="68"/>
      <c r="H64" s="77"/>
      <c r="I64" s="68"/>
      <c r="J64" s="85"/>
      <c r="K64" s="88"/>
    </row>
    <row r="65">
      <c r="A65" s="84"/>
      <c r="B65" s="38"/>
      <c r="C65" s="64"/>
      <c r="D65" s="85"/>
      <c r="E65" s="86"/>
      <c r="F65" s="85"/>
      <c r="G65" s="68"/>
      <c r="H65" s="77"/>
      <c r="I65" s="68"/>
      <c r="J65" s="85"/>
      <c r="K65" s="88"/>
    </row>
    <row r="66">
      <c r="A66" s="84"/>
      <c r="B66" s="38"/>
      <c r="C66" s="64"/>
      <c r="D66" s="85"/>
      <c r="E66" s="86"/>
      <c r="F66" s="85"/>
      <c r="G66" s="68"/>
      <c r="H66" s="77"/>
      <c r="I66" s="68"/>
      <c r="J66" s="85"/>
      <c r="K66" s="88"/>
    </row>
    <row r="67">
      <c r="A67" s="84"/>
      <c r="B67" s="38"/>
      <c r="C67" s="64"/>
      <c r="D67" s="85"/>
      <c r="E67" s="86"/>
      <c r="F67" s="85"/>
      <c r="G67" s="68"/>
      <c r="H67" s="77"/>
      <c r="I67" s="68"/>
      <c r="J67" s="85"/>
      <c r="K67" s="88"/>
    </row>
    <row r="68">
      <c r="A68" s="84"/>
      <c r="B68" s="38"/>
      <c r="C68" s="64"/>
      <c r="D68" s="85"/>
      <c r="E68" s="86"/>
      <c r="F68" s="85"/>
      <c r="G68" s="68"/>
      <c r="H68" s="77"/>
      <c r="I68" s="68"/>
      <c r="J68" s="85"/>
      <c r="K68" s="88"/>
    </row>
    <row r="69">
      <c r="A69" s="84"/>
      <c r="B69" s="38"/>
      <c r="C69" s="64"/>
      <c r="D69" s="85"/>
      <c r="E69" s="86"/>
      <c r="F69" s="85"/>
      <c r="G69" s="68"/>
      <c r="H69" s="77"/>
      <c r="I69" s="68"/>
      <c r="J69" s="85"/>
      <c r="K69" s="88"/>
    </row>
    <row r="70">
      <c r="A70" s="84"/>
      <c r="B70" s="38"/>
      <c r="C70" s="64"/>
      <c r="D70" s="85"/>
      <c r="E70" s="86"/>
      <c r="F70" s="85"/>
      <c r="G70" s="68"/>
      <c r="H70" s="77"/>
      <c r="I70" s="68"/>
      <c r="J70" s="85"/>
      <c r="K70" s="88"/>
    </row>
    <row r="71">
      <c r="A71" s="84"/>
      <c r="B71" s="38"/>
      <c r="C71" s="64"/>
      <c r="D71" s="85"/>
      <c r="E71" s="86"/>
      <c r="F71" s="85"/>
      <c r="G71" s="68"/>
      <c r="H71" s="77"/>
      <c r="I71" s="68"/>
      <c r="J71" s="85"/>
      <c r="K71" s="88"/>
    </row>
    <row r="72">
      <c r="A72" s="84"/>
      <c r="B72" s="38"/>
      <c r="C72" s="64"/>
      <c r="D72" s="85"/>
      <c r="E72" s="86"/>
      <c r="F72" s="85"/>
      <c r="G72" s="68"/>
      <c r="H72" s="77"/>
      <c r="I72" s="68"/>
      <c r="J72" s="85"/>
      <c r="K72" s="88"/>
    </row>
    <row r="73">
      <c r="A73" s="84"/>
      <c r="B73" s="38"/>
      <c r="C73" s="64"/>
      <c r="D73" s="85"/>
      <c r="E73" s="86"/>
      <c r="F73" s="85"/>
      <c r="G73" s="68"/>
      <c r="H73" s="77"/>
      <c r="I73" s="68"/>
      <c r="J73" s="85"/>
      <c r="K73" s="88"/>
    </row>
    <row r="74">
      <c r="A74" s="84"/>
      <c r="B74" s="38"/>
      <c r="C74" s="64">
        <v>45322.0</v>
      </c>
      <c r="D74" s="85"/>
      <c r="E74" s="89"/>
      <c r="F74" s="85"/>
      <c r="G74" s="68"/>
      <c r="H74" s="80"/>
      <c r="I74" s="68"/>
      <c r="J74" s="85"/>
      <c r="K74" s="88"/>
    </row>
    <row r="75">
      <c r="A75" s="84"/>
      <c r="B75" s="38"/>
      <c r="C75" s="64">
        <v>45322.0</v>
      </c>
      <c r="D75" s="85"/>
      <c r="E75" s="89"/>
      <c r="F75" s="85"/>
      <c r="G75" s="68"/>
      <c r="H75" s="80"/>
      <c r="I75" s="68"/>
      <c r="J75" s="85"/>
      <c r="K75" s="88"/>
    </row>
    <row r="76">
      <c r="A76" s="84"/>
      <c r="B76" s="38"/>
      <c r="C76" s="64">
        <v>45322.0</v>
      </c>
      <c r="D76" s="85"/>
      <c r="E76" s="89"/>
      <c r="F76" s="85"/>
      <c r="G76" s="68"/>
      <c r="H76" s="80"/>
      <c r="I76" s="68"/>
      <c r="J76" s="85"/>
      <c r="K76" s="88"/>
    </row>
    <row r="77">
      <c r="A77" s="84"/>
      <c r="B77" s="38"/>
      <c r="C77" s="64">
        <v>45322.0</v>
      </c>
      <c r="D77" s="85"/>
      <c r="E77" s="89"/>
      <c r="F77" s="85"/>
      <c r="G77" s="68"/>
      <c r="H77" s="80"/>
      <c r="I77" s="68"/>
      <c r="J77" s="85"/>
      <c r="K77" s="88"/>
    </row>
    <row r="78">
      <c r="A78" s="84"/>
      <c r="B78" s="38"/>
      <c r="C78" s="64">
        <v>45322.0</v>
      </c>
      <c r="D78" s="85"/>
      <c r="E78" s="89"/>
      <c r="F78" s="85"/>
      <c r="G78" s="68"/>
      <c r="H78" s="80"/>
      <c r="I78" s="68"/>
      <c r="J78" s="85"/>
      <c r="K78" s="88"/>
    </row>
    <row r="79">
      <c r="A79" s="84"/>
      <c r="B79" s="38"/>
      <c r="C79" s="64">
        <v>45322.0</v>
      </c>
      <c r="D79" s="85"/>
      <c r="E79" s="89"/>
      <c r="F79" s="85"/>
      <c r="G79" s="68"/>
      <c r="H79" s="80"/>
      <c r="I79" s="68"/>
      <c r="J79" s="85"/>
      <c r="K79" s="88"/>
    </row>
    <row r="80">
      <c r="A80" s="84"/>
      <c r="B80" s="38"/>
      <c r="C80" s="64">
        <v>45322.0</v>
      </c>
      <c r="D80" s="85"/>
      <c r="E80" s="89"/>
      <c r="F80" s="85"/>
      <c r="G80" s="68"/>
      <c r="H80" s="80"/>
      <c r="I80" s="68"/>
      <c r="J80" s="85"/>
      <c r="K80" s="88"/>
    </row>
    <row r="81">
      <c r="A81" s="84"/>
      <c r="B81" s="38"/>
      <c r="C81" s="90"/>
      <c r="D81" s="85"/>
      <c r="E81" s="89"/>
      <c r="F81" s="85"/>
      <c r="G81" s="68"/>
      <c r="H81" s="80"/>
      <c r="I81" s="68"/>
      <c r="J81" s="85"/>
      <c r="K81" s="88"/>
    </row>
    <row r="82">
      <c r="A82" s="37"/>
      <c r="B82" s="38"/>
      <c r="C82" s="90"/>
      <c r="D82" s="71"/>
      <c r="E82" s="81"/>
      <c r="F82" s="71"/>
      <c r="G82" s="68"/>
      <c r="H82" s="80"/>
      <c r="I82" s="68"/>
      <c r="J82" s="71"/>
      <c r="K82" s="74"/>
    </row>
    <row r="83">
      <c r="A83" s="37"/>
      <c r="B83" s="38"/>
      <c r="C83" s="90"/>
      <c r="D83" s="71"/>
      <c r="E83" s="81"/>
      <c r="F83" s="71"/>
      <c r="G83" s="68"/>
      <c r="H83" s="80"/>
      <c r="I83" s="68"/>
      <c r="J83" s="71"/>
      <c r="K83" s="74"/>
    </row>
    <row r="84">
      <c r="A84" s="37"/>
      <c r="B84" s="38"/>
      <c r="C84" s="90"/>
      <c r="D84" s="71"/>
      <c r="E84" s="81"/>
      <c r="F84" s="71"/>
      <c r="G84" s="68"/>
      <c r="H84" s="80"/>
      <c r="I84" s="68"/>
      <c r="J84" s="71"/>
      <c r="K84" s="74"/>
    </row>
    <row r="85">
      <c r="A85" s="37"/>
      <c r="B85" s="38"/>
      <c r="C85" s="90"/>
      <c r="D85" s="71"/>
      <c r="E85" s="81"/>
      <c r="F85" s="71"/>
      <c r="G85" s="68"/>
      <c r="H85" s="80"/>
      <c r="I85" s="68"/>
      <c r="J85" s="71"/>
      <c r="K85" s="74"/>
    </row>
    <row r="86">
      <c r="A86" s="37"/>
      <c r="B86" s="38"/>
      <c r="C86" s="90"/>
      <c r="D86" s="71"/>
      <c r="E86" s="81"/>
      <c r="F86" s="71"/>
      <c r="G86" s="68"/>
      <c r="H86" s="80"/>
      <c r="I86" s="68"/>
      <c r="J86" s="71"/>
      <c r="K86" s="74"/>
    </row>
    <row r="87">
      <c r="A87" s="37"/>
      <c r="B87" s="38"/>
      <c r="C87" s="90"/>
      <c r="D87" s="71"/>
      <c r="E87" s="81"/>
      <c r="F87" s="71"/>
      <c r="G87" s="68"/>
      <c r="H87" s="80"/>
      <c r="I87" s="68"/>
      <c r="J87" s="71"/>
      <c r="K87" s="74"/>
    </row>
    <row r="88">
      <c r="A88" s="37"/>
      <c r="B88" s="38"/>
      <c r="C88" s="90"/>
      <c r="D88" s="71"/>
      <c r="E88" s="81"/>
      <c r="F88" s="71"/>
      <c r="G88" s="68"/>
      <c r="H88" s="80"/>
      <c r="I88" s="68"/>
      <c r="J88" s="71"/>
      <c r="K88" s="74"/>
    </row>
    <row r="89">
      <c r="A89" s="37"/>
      <c r="B89" s="38"/>
      <c r="C89" s="90"/>
      <c r="D89" s="71"/>
      <c r="E89" s="81"/>
      <c r="F89" s="71"/>
      <c r="G89" s="68"/>
      <c r="H89" s="80"/>
      <c r="I89" s="68"/>
      <c r="J89" s="71"/>
      <c r="K89" s="74"/>
    </row>
    <row r="90">
      <c r="A90" s="37"/>
      <c r="B90" s="38"/>
      <c r="C90" s="90"/>
      <c r="D90" s="71"/>
      <c r="E90" s="81"/>
      <c r="F90" s="71"/>
      <c r="G90" s="68"/>
      <c r="H90" s="80"/>
      <c r="I90" s="68"/>
      <c r="J90" s="71"/>
      <c r="K90" s="74"/>
    </row>
    <row r="91">
      <c r="A91" s="37"/>
      <c r="B91" s="38"/>
      <c r="C91" s="90"/>
      <c r="D91" s="71"/>
      <c r="E91" s="81"/>
      <c r="F91" s="71"/>
      <c r="G91" s="68"/>
      <c r="H91" s="80"/>
      <c r="I91" s="68"/>
      <c r="J91" s="71"/>
      <c r="K91" s="74"/>
    </row>
    <row r="92">
      <c r="A92" s="37"/>
      <c r="B92" s="38"/>
      <c r="C92" s="90"/>
      <c r="D92" s="71"/>
      <c r="E92" s="81"/>
      <c r="F92" s="71"/>
      <c r="G92" s="68"/>
      <c r="H92" s="80"/>
      <c r="I92" s="68"/>
      <c r="J92" s="71"/>
      <c r="K92" s="74"/>
    </row>
    <row r="93">
      <c r="A93" s="37"/>
      <c r="B93" s="38"/>
      <c r="C93" s="90"/>
      <c r="D93" s="71"/>
      <c r="E93" s="81"/>
      <c r="F93" s="71"/>
      <c r="G93" s="68"/>
      <c r="H93" s="80"/>
      <c r="I93" s="68"/>
      <c r="J93" s="71"/>
      <c r="K93" s="74"/>
    </row>
    <row r="94">
      <c r="A94" s="37"/>
      <c r="B94" s="38"/>
      <c r="C94" s="90"/>
      <c r="D94" s="71"/>
      <c r="E94" s="81"/>
      <c r="F94" s="71"/>
      <c r="G94" s="68"/>
      <c r="H94" s="80"/>
      <c r="I94" s="68"/>
      <c r="J94" s="71"/>
      <c r="K94" s="74"/>
    </row>
    <row r="95">
      <c r="A95" s="37"/>
      <c r="B95" s="38"/>
      <c r="C95" s="90"/>
      <c r="D95" s="71"/>
      <c r="E95" s="81"/>
      <c r="F95" s="71"/>
      <c r="G95" s="68"/>
      <c r="H95" s="80"/>
      <c r="I95" s="68"/>
      <c r="J95" s="71"/>
      <c r="K95" s="74"/>
    </row>
    <row r="96">
      <c r="A96" s="37"/>
      <c r="B96" s="38"/>
      <c r="C96" s="90"/>
      <c r="D96" s="71"/>
      <c r="E96" s="81"/>
      <c r="F96" s="71"/>
      <c r="G96" s="68"/>
      <c r="H96" s="80"/>
      <c r="I96" s="68"/>
      <c r="J96" s="71"/>
      <c r="K96" s="74"/>
    </row>
    <row r="97">
      <c r="A97" s="37"/>
      <c r="B97" s="38"/>
      <c r="C97" s="90"/>
      <c r="D97" s="71"/>
      <c r="E97" s="81"/>
      <c r="F97" s="71"/>
      <c r="G97" s="68"/>
      <c r="H97" s="80"/>
      <c r="I97" s="68"/>
      <c r="J97" s="71"/>
      <c r="K97" s="74"/>
    </row>
    <row r="98">
      <c r="A98" s="37"/>
      <c r="B98" s="38"/>
      <c r="C98" s="90"/>
      <c r="D98" s="71"/>
      <c r="E98" s="81"/>
      <c r="F98" s="71"/>
      <c r="G98" s="68"/>
      <c r="H98" s="80"/>
      <c r="I98" s="68"/>
      <c r="J98" s="71"/>
      <c r="K98" s="74"/>
    </row>
    <row r="99">
      <c r="A99" s="37"/>
      <c r="B99" s="38"/>
      <c r="C99" s="90"/>
      <c r="D99" s="71"/>
      <c r="E99" s="81"/>
      <c r="F99" s="71"/>
      <c r="G99" s="68"/>
      <c r="H99" s="80"/>
      <c r="I99" s="68"/>
      <c r="J99" s="71"/>
      <c r="K99" s="74"/>
    </row>
    <row r="100">
      <c r="A100" s="37"/>
      <c r="B100" s="38"/>
      <c r="C100" s="90"/>
      <c r="D100" s="71"/>
      <c r="E100" s="81"/>
      <c r="F100" s="71"/>
      <c r="G100" s="68"/>
      <c r="H100" s="80"/>
      <c r="I100" s="68"/>
      <c r="J100" s="71"/>
      <c r="K100" s="74"/>
    </row>
    <row r="101">
      <c r="A101" s="37"/>
      <c r="B101" s="38"/>
      <c r="C101" s="90"/>
      <c r="D101" s="71"/>
      <c r="E101" s="81"/>
      <c r="F101" s="71"/>
      <c r="G101" s="68"/>
      <c r="H101" s="80"/>
      <c r="I101" s="68"/>
      <c r="J101" s="71"/>
      <c r="K101" s="74"/>
    </row>
    <row r="102">
      <c r="A102" s="37"/>
      <c r="B102" s="38"/>
      <c r="C102" s="90"/>
      <c r="D102" s="71"/>
      <c r="E102" s="81"/>
      <c r="F102" s="71"/>
      <c r="G102" s="68"/>
      <c r="H102" s="80"/>
      <c r="I102" s="68"/>
      <c r="J102" s="71"/>
      <c r="K102" s="74"/>
    </row>
    <row r="103">
      <c r="A103" s="37"/>
      <c r="B103" s="38"/>
      <c r="C103" s="90"/>
      <c r="D103" s="71"/>
      <c r="E103" s="81"/>
      <c r="F103" s="71"/>
      <c r="G103" s="68"/>
      <c r="H103" s="80"/>
      <c r="I103" s="68"/>
      <c r="J103" s="71"/>
      <c r="K103" s="74"/>
    </row>
    <row r="104">
      <c r="A104" s="37"/>
      <c r="B104" s="38"/>
      <c r="C104" s="90"/>
      <c r="D104" s="71"/>
      <c r="E104" s="81"/>
      <c r="F104" s="71"/>
      <c r="G104" s="68"/>
      <c r="H104" s="80"/>
      <c r="I104" s="68"/>
      <c r="J104" s="71"/>
      <c r="K104" s="74"/>
    </row>
    <row r="105">
      <c r="A105" s="37"/>
      <c r="B105" s="38"/>
      <c r="C105" s="90"/>
      <c r="D105" s="71"/>
      <c r="E105" s="81"/>
      <c r="F105" s="71"/>
      <c r="G105" s="68"/>
      <c r="H105" s="80"/>
      <c r="I105" s="68"/>
      <c r="J105" s="71"/>
      <c r="K105" s="74"/>
    </row>
    <row r="106">
      <c r="A106" s="37"/>
      <c r="B106" s="38"/>
      <c r="C106" s="90"/>
      <c r="D106" s="71"/>
      <c r="E106" s="81"/>
      <c r="F106" s="71"/>
      <c r="G106" s="68"/>
      <c r="H106" s="80"/>
      <c r="I106" s="68"/>
      <c r="J106" s="71"/>
      <c r="K106" s="74"/>
    </row>
    <row r="107">
      <c r="A107" s="37"/>
      <c r="B107" s="38"/>
      <c r="C107" s="90"/>
      <c r="D107" s="71"/>
      <c r="E107" s="81"/>
      <c r="F107" s="71"/>
      <c r="G107" s="68"/>
      <c r="H107" s="80"/>
      <c r="I107" s="68"/>
      <c r="J107" s="71"/>
      <c r="K107" s="74"/>
    </row>
    <row r="108">
      <c r="A108" s="37"/>
      <c r="B108" s="38"/>
      <c r="C108" s="90"/>
      <c r="D108" s="71"/>
      <c r="E108" s="81"/>
      <c r="F108" s="71"/>
      <c r="G108" s="68"/>
      <c r="H108" s="80"/>
      <c r="I108" s="68"/>
      <c r="J108" s="71"/>
      <c r="K108" s="74"/>
    </row>
    <row r="109">
      <c r="A109" s="37"/>
      <c r="B109" s="38"/>
      <c r="C109" s="90"/>
      <c r="D109" s="71"/>
      <c r="E109" s="81"/>
      <c r="F109" s="71"/>
      <c r="G109" s="68"/>
      <c r="H109" s="80"/>
      <c r="I109" s="68"/>
      <c r="J109" s="71"/>
      <c r="K109" s="74"/>
    </row>
    <row r="110">
      <c r="A110" s="37"/>
      <c r="B110" s="38"/>
      <c r="C110" s="90"/>
      <c r="D110" s="71"/>
      <c r="E110" s="81"/>
      <c r="F110" s="71"/>
      <c r="G110" s="68"/>
      <c r="H110" s="80"/>
      <c r="I110" s="68"/>
      <c r="J110" s="71"/>
      <c r="K110" s="74"/>
    </row>
    <row r="111">
      <c r="A111" s="37"/>
      <c r="B111" s="38"/>
      <c r="C111" s="90"/>
      <c r="D111" s="71"/>
      <c r="E111" s="81"/>
      <c r="F111" s="71"/>
      <c r="G111" s="68"/>
      <c r="H111" s="80"/>
      <c r="I111" s="68"/>
      <c r="J111" s="71"/>
      <c r="K111" s="74"/>
    </row>
    <row r="112">
      <c r="A112" s="37"/>
      <c r="B112" s="38"/>
      <c r="C112" s="90"/>
      <c r="D112" s="71"/>
      <c r="E112" s="81"/>
      <c r="F112" s="71"/>
      <c r="G112" s="68"/>
      <c r="H112" s="80"/>
      <c r="I112" s="68"/>
      <c r="J112" s="71"/>
      <c r="K112" s="74"/>
    </row>
    <row r="113">
      <c r="A113" s="37"/>
      <c r="B113" s="38"/>
      <c r="C113" s="90"/>
      <c r="D113" s="71"/>
      <c r="E113" s="81"/>
      <c r="F113" s="71"/>
      <c r="G113" s="68"/>
      <c r="H113" s="80"/>
      <c r="I113" s="68"/>
      <c r="J113" s="71"/>
      <c r="K113" s="74"/>
    </row>
    <row r="114">
      <c r="A114" s="37"/>
      <c r="B114" s="38"/>
      <c r="C114" s="90"/>
      <c r="D114" s="71"/>
      <c r="E114" s="81"/>
      <c r="F114" s="71"/>
      <c r="G114" s="68"/>
      <c r="H114" s="80"/>
      <c r="I114" s="68"/>
      <c r="J114" s="71"/>
      <c r="K114" s="74"/>
    </row>
    <row r="115">
      <c r="A115" s="37"/>
      <c r="B115" s="38"/>
      <c r="C115" s="90"/>
      <c r="D115" s="71"/>
      <c r="E115" s="81"/>
      <c r="F115" s="71"/>
      <c r="G115" s="68"/>
      <c r="H115" s="80"/>
      <c r="I115" s="68"/>
      <c r="J115" s="71"/>
      <c r="K115" s="74"/>
    </row>
    <row r="116">
      <c r="A116" s="37"/>
      <c r="B116" s="38"/>
      <c r="C116" s="91"/>
      <c r="D116" s="71"/>
      <c r="E116" s="92"/>
      <c r="F116" s="71"/>
      <c r="G116" s="68"/>
      <c r="H116" s="93"/>
      <c r="I116" s="68"/>
      <c r="J116" s="71"/>
      <c r="K116" s="74"/>
    </row>
    <row r="117">
      <c r="A117" s="37"/>
      <c r="B117" s="38"/>
      <c r="C117" s="91"/>
      <c r="D117" s="71"/>
      <c r="E117" s="92"/>
      <c r="F117" s="71"/>
      <c r="G117" s="68"/>
      <c r="H117" s="93"/>
      <c r="I117" s="68"/>
      <c r="J117" s="71"/>
      <c r="K117" s="74"/>
    </row>
    <row r="118">
      <c r="A118" s="37"/>
      <c r="B118" s="38"/>
      <c r="C118" s="91"/>
      <c r="D118" s="71"/>
      <c r="E118" s="92"/>
      <c r="F118" s="71"/>
      <c r="G118" s="68"/>
      <c r="H118" s="93"/>
      <c r="I118" s="68"/>
      <c r="J118" s="71"/>
      <c r="K118" s="74"/>
    </row>
    <row r="119">
      <c r="A119" s="37"/>
      <c r="B119" s="38"/>
      <c r="C119" s="91"/>
      <c r="D119" s="71"/>
      <c r="E119" s="92"/>
      <c r="F119" s="71"/>
      <c r="G119" s="68"/>
      <c r="H119" s="93"/>
      <c r="I119" s="68"/>
      <c r="J119" s="71"/>
      <c r="K119" s="74"/>
    </row>
    <row r="120">
      <c r="A120" s="37"/>
      <c r="B120" s="38"/>
      <c r="C120" s="94"/>
      <c r="D120" s="71"/>
      <c r="E120" s="95"/>
      <c r="F120" s="71"/>
      <c r="G120" s="68"/>
      <c r="H120" s="96"/>
      <c r="I120" s="68"/>
      <c r="J120" s="71"/>
      <c r="K120" s="74"/>
    </row>
    <row r="121">
      <c r="A121" s="37"/>
      <c r="B121" s="38"/>
      <c r="C121" s="94"/>
      <c r="D121" s="71"/>
      <c r="E121" s="92"/>
      <c r="F121" s="71"/>
      <c r="G121" s="68"/>
      <c r="H121" s="93"/>
      <c r="I121" s="68"/>
      <c r="J121" s="71"/>
      <c r="K121" s="74"/>
    </row>
    <row r="122">
      <c r="A122" s="37"/>
      <c r="B122" s="38"/>
      <c r="C122" s="91"/>
      <c r="D122" s="71"/>
      <c r="E122" s="92"/>
      <c r="F122" s="71"/>
      <c r="G122" s="68"/>
      <c r="H122" s="93"/>
      <c r="I122" s="68"/>
      <c r="J122" s="71"/>
      <c r="K122" s="74"/>
    </row>
    <row r="123">
      <c r="A123" s="37"/>
      <c r="B123" s="38"/>
      <c r="C123" s="94"/>
      <c r="D123" s="71"/>
      <c r="E123" s="95"/>
      <c r="F123" s="71"/>
      <c r="G123" s="68"/>
      <c r="H123" s="96"/>
      <c r="I123" s="68"/>
      <c r="J123" s="71"/>
      <c r="K123" s="74"/>
    </row>
    <row r="124">
      <c r="A124" s="37"/>
      <c r="B124" s="38"/>
      <c r="C124" s="91"/>
      <c r="D124" s="71"/>
      <c r="E124" s="92"/>
      <c r="F124" s="71"/>
      <c r="G124" s="68"/>
      <c r="H124" s="93"/>
      <c r="I124" s="68"/>
      <c r="J124" s="71"/>
      <c r="K124" s="74"/>
    </row>
    <row r="125">
      <c r="A125" s="37"/>
      <c r="B125" s="38"/>
      <c r="C125" s="94"/>
      <c r="D125" s="71"/>
      <c r="E125" s="95"/>
      <c r="F125" s="71"/>
      <c r="G125" s="68"/>
      <c r="H125" s="96"/>
      <c r="I125" s="68"/>
      <c r="J125" s="71"/>
      <c r="K125" s="74"/>
    </row>
    <row r="126">
      <c r="A126" s="37"/>
      <c r="B126" s="38"/>
      <c r="C126" s="94"/>
      <c r="D126" s="71"/>
      <c r="E126" s="95"/>
      <c r="F126" s="71"/>
      <c r="G126" s="68"/>
      <c r="H126" s="96"/>
      <c r="I126" s="68"/>
      <c r="J126" s="71"/>
      <c r="K126" s="74"/>
    </row>
    <row r="127">
      <c r="A127" s="37"/>
      <c r="B127" s="38"/>
      <c r="C127" s="94"/>
      <c r="D127" s="71"/>
      <c r="E127" s="95"/>
      <c r="F127" s="71"/>
      <c r="G127" s="68"/>
      <c r="H127" s="96"/>
      <c r="I127" s="68"/>
      <c r="J127" s="71"/>
      <c r="K127" s="74"/>
    </row>
    <row r="128">
      <c r="A128" s="37"/>
      <c r="B128" s="38"/>
      <c r="C128" s="91"/>
      <c r="D128" s="71"/>
      <c r="E128" s="92"/>
      <c r="F128" s="71"/>
      <c r="G128" s="68"/>
      <c r="H128" s="93"/>
      <c r="I128" s="68"/>
      <c r="J128" s="71"/>
      <c r="K128" s="74"/>
    </row>
    <row r="129">
      <c r="A129" s="37"/>
      <c r="B129" s="38"/>
      <c r="C129" s="91"/>
      <c r="D129" s="71"/>
      <c r="E129" s="92"/>
      <c r="F129" s="71"/>
      <c r="G129" s="68"/>
      <c r="H129" s="93"/>
      <c r="I129" s="68"/>
      <c r="J129" s="71"/>
      <c r="K129" s="74"/>
    </row>
    <row r="130">
      <c r="A130" s="37"/>
      <c r="B130" s="38"/>
      <c r="C130" s="91"/>
      <c r="D130" s="71"/>
      <c r="E130" s="92"/>
      <c r="F130" s="71"/>
      <c r="G130" s="68"/>
      <c r="H130" s="93"/>
      <c r="I130" s="68"/>
      <c r="J130" s="71"/>
      <c r="K130" s="74"/>
    </row>
    <row r="131">
      <c r="A131" s="37"/>
      <c r="B131" s="38"/>
      <c r="C131" s="91"/>
      <c r="D131" s="71"/>
      <c r="E131" s="92"/>
      <c r="F131" s="71"/>
      <c r="G131" s="68"/>
      <c r="H131" s="93"/>
      <c r="I131" s="68"/>
      <c r="J131" s="71"/>
      <c r="K131" s="74"/>
    </row>
    <row r="132">
      <c r="A132" s="37"/>
      <c r="B132" s="38"/>
      <c r="C132" s="94"/>
      <c r="D132" s="71"/>
      <c r="E132" s="95"/>
      <c r="F132" s="71"/>
      <c r="G132" s="68"/>
      <c r="H132" s="96"/>
      <c r="I132" s="68"/>
      <c r="J132" s="71"/>
      <c r="K132" s="74"/>
    </row>
    <row r="133">
      <c r="A133" s="37"/>
      <c r="B133" s="38"/>
      <c r="C133" s="91"/>
      <c r="D133" s="71"/>
      <c r="E133" s="92"/>
      <c r="F133" s="71"/>
      <c r="G133" s="68"/>
      <c r="H133" s="93"/>
      <c r="I133" s="68"/>
      <c r="J133" s="71"/>
      <c r="K133" s="74"/>
    </row>
    <row r="134">
      <c r="A134" s="37"/>
      <c r="B134" s="38"/>
      <c r="C134" s="94"/>
      <c r="D134" s="71"/>
      <c r="E134" s="95"/>
      <c r="F134" s="71"/>
      <c r="G134" s="68"/>
      <c r="H134" s="96"/>
      <c r="I134" s="68"/>
      <c r="J134" s="71"/>
      <c r="K134" s="74"/>
    </row>
    <row r="135">
      <c r="A135" s="37"/>
      <c r="B135" s="38"/>
      <c r="C135" s="94"/>
      <c r="D135" s="71"/>
      <c r="E135" s="92"/>
      <c r="F135" s="71"/>
      <c r="G135" s="68"/>
      <c r="H135" s="93"/>
      <c r="I135" s="68"/>
      <c r="J135" s="71"/>
      <c r="K135" s="74"/>
    </row>
    <row r="136">
      <c r="A136" s="37"/>
      <c r="B136" s="38"/>
      <c r="C136" s="91"/>
      <c r="D136" s="71"/>
      <c r="E136" s="92"/>
      <c r="F136" s="71"/>
      <c r="G136" s="68"/>
      <c r="H136" s="93"/>
      <c r="I136" s="68"/>
      <c r="J136" s="71"/>
      <c r="K136" s="74"/>
    </row>
    <row r="137">
      <c r="A137" s="97"/>
      <c r="B137" s="38"/>
      <c r="C137" s="98"/>
      <c r="D137" s="71"/>
      <c r="E137" s="92"/>
      <c r="F137" s="71"/>
      <c r="G137" s="68"/>
      <c r="H137" s="99"/>
      <c r="I137" s="68"/>
      <c r="J137" s="71"/>
      <c r="K137" s="74"/>
    </row>
    <row r="138">
      <c r="A138" s="100"/>
      <c r="B138" s="38"/>
      <c r="C138" s="98"/>
      <c r="D138" s="101"/>
      <c r="E138" s="92"/>
      <c r="F138" s="71"/>
      <c r="G138" s="68"/>
      <c r="H138" s="99"/>
      <c r="I138" s="68"/>
      <c r="J138" s="71"/>
      <c r="K138" s="74"/>
    </row>
    <row r="139">
      <c r="A139" s="100"/>
      <c r="B139" s="38"/>
      <c r="C139" s="98"/>
      <c r="D139" s="101"/>
      <c r="E139" s="92"/>
      <c r="F139" s="71"/>
      <c r="G139" s="68"/>
      <c r="H139" s="99"/>
      <c r="I139" s="68"/>
      <c r="J139" s="71"/>
      <c r="K139" s="74"/>
    </row>
    <row r="140">
      <c r="A140" s="100"/>
      <c r="B140" s="38"/>
      <c r="C140" s="98"/>
      <c r="D140" s="101"/>
      <c r="E140" s="92"/>
      <c r="F140" s="71"/>
      <c r="G140" s="68"/>
      <c r="H140" s="99"/>
      <c r="I140" s="68"/>
      <c r="J140" s="71"/>
      <c r="K140" s="74"/>
    </row>
    <row r="141">
      <c r="A141" s="100"/>
      <c r="B141" s="38"/>
      <c r="C141" s="98"/>
      <c r="D141" s="101"/>
      <c r="E141" s="92"/>
      <c r="F141" s="71"/>
      <c r="G141" s="68"/>
      <c r="H141" s="99"/>
      <c r="I141" s="68"/>
      <c r="J141" s="71"/>
      <c r="K141" s="74"/>
    </row>
    <row r="142">
      <c r="A142" s="100"/>
      <c r="B142" s="38"/>
      <c r="C142" s="98"/>
      <c r="D142" s="101"/>
      <c r="E142" s="92"/>
      <c r="F142" s="71"/>
      <c r="G142" s="68"/>
      <c r="H142" s="99"/>
      <c r="I142" s="68"/>
      <c r="J142" s="71"/>
      <c r="K142" s="74"/>
    </row>
    <row r="143">
      <c r="A143" s="100"/>
      <c r="B143" s="38"/>
      <c r="C143" s="98"/>
      <c r="D143" s="101"/>
      <c r="E143" s="92"/>
      <c r="F143" s="71"/>
      <c r="G143" s="68"/>
      <c r="H143" s="99"/>
      <c r="I143" s="68"/>
      <c r="J143" s="71"/>
      <c r="K143" s="74"/>
    </row>
    <row r="144">
      <c r="A144" s="100"/>
      <c r="B144" s="38"/>
      <c r="C144" s="98"/>
      <c r="D144" s="101"/>
      <c r="E144" s="92"/>
      <c r="F144" s="71"/>
      <c r="G144" s="68"/>
      <c r="H144" s="99"/>
      <c r="I144" s="68"/>
      <c r="J144" s="71"/>
      <c r="K144" s="74"/>
    </row>
    <row r="145">
      <c r="A145" s="100"/>
      <c r="B145" s="38"/>
      <c r="C145" s="98"/>
      <c r="D145" s="101"/>
      <c r="E145" s="92"/>
      <c r="F145" s="71"/>
      <c r="G145" s="68"/>
      <c r="H145" s="99"/>
      <c r="I145" s="68"/>
      <c r="J145" s="71"/>
      <c r="K145" s="74"/>
    </row>
    <row r="146">
      <c r="A146" s="100"/>
      <c r="B146" s="38"/>
      <c r="C146" s="98"/>
      <c r="D146" s="101"/>
      <c r="E146" s="92"/>
      <c r="F146" s="71"/>
      <c r="G146" s="68"/>
      <c r="H146" s="99"/>
      <c r="I146" s="68"/>
      <c r="J146" s="71"/>
      <c r="K146" s="74"/>
    </row>
    <row r="147">
      <c r="A147" s="100"/>
      <c r="B147" s="38"/>
      <c r="C147" s="98"/>
      <c r="D147" s="101"/>
      <c r="E147" s="92"/>
      <c r="F147" s="71"/>
      <c r="G147" s="68"/>
      <c r="H147" s="99"/>
      <c r="I147" s="68"/>
      <c r="J147" s="71"/>
      <c r="K147" s="74"/>
    </row>
    <row r="148">
      <c r="A148" s="100"/>
      <c r="B148" s="38"/>
      <c r="C148" s="98"/>
      <c r="D148" s="101"/>
      <c r="E148" s="92"/>
      <c r="F148" s="71"/>
      <c r="G148" s="68"/>
      <c r="H148" s="99"/>
      <c r="I148" s="68"/>
      <c r="J148" s="71"/>
      <c r="K148" s="74"/>
    </row>
    <row r="149">
      <c r="A149" s="100"/>
      <c r="B149" s="38"/>
      <c r="C149" s="98"/>
      <c r="D149" s="101"/>
      <c r="E149" s="92"/>
      <c r="F149" s="71"/>
      <c r="G149" s="68"/>
      <c r="H149" s="99"/>
      <c r="I149" s="68"/>
      <c r="J149" s="71"/>
      <c r="K149" s="74"/>
    </row>
    <row r="150">
      <c r="A150" s="100"/>
      <c r="B150" s="38"/>
      <c r="C150" s="98"/>
      <c r="D150" s="101"/>
      <c r="E150" s="92"/>
      <c r="F150" s="71"/>
      <c r="G150" s="68"/>
      <c r="H150" s="99"/>
      <c r="I150" s="68"/>
      <c r="J150" s="71"/>
      <c r="K150" s="74"/>
    </row>
    <row r="151">
      <c r="A151" s="100"/>
      <c r="B151" s="38"/>
      <c r="C151" s="98"/>
      <c r="D151" s="101"/>
      <c r="E151" s="92"/>
      <c r="F151" s="71"/>
      <c r="G151" s="68"/>
      <c r="H151" s="99"/>
      <c r="I151" s="68"/>
      <c r="J151" s="71"/>
      <c r="K151" s="74"/>
    </row>
    <row r="152">
      <c r="A152" s="100"/>
      <c r="B152" s="38"/>
      <c r="C152" s="98"/>
      <c r="D152" s="101"/>
      <c r="E152" s="92"/>
      <c r="F152" s="71"/>
      <c r="G152" s="68"/>
      <c r="H152" s="99"/>
      <c r="I152" s="68"/>
      <c r="J152" s="71"/>
      <c r="K152" s="74"/>
    </row>
    <row r="153">
      <c r="A153" s="100"/>
      <c r="B153" s="38"/>
      <c r="C153" s="98"/>
      <c r="D153" s="101"/>
      <c r="E153" s="92"/>
      <c r="F153" s="71"/>
      <c r="G153" s="68"/>
      <c r="H153" s="99"/>
      <c r="I153" s="68"/>
      <c r="J153" s="71"/>
      <c r="K153" s="74"/>
    </row>
    <row r="154">
      <c r="A154" s="100"/>
      <c r="B154" s="38"/>
      <c r="C154" s="98"/>
      <c r="D154" s="101"/>
      <c r="E154" s="92"/>
      <c r="F154" s="71"/>
      <c r="G154" s="68"/>
      <c r="H154" s="99"/>
      <c r="I154" s="68"/>
      <c r="J154" s="71"/>
      <c r="K154" s="74"/>
    </row>
    <row r="155">
      <c r="A155" s="100"/>
      <c r="B155" s="38"/>
      <c r="C155" s="98"/>
      <c r="D155" s="101"/>
      <c r="E155" s="92"/>
      <c r="F155" s="71"/>
      <c r="G155" s="68"/>
      <c r="H155" s="99"/>
      <c r="I155" s="68"/>
      <c r="J155" s="71"/>
      <c r="K155" s="74"/>
    </row>
    <row r="156">
      <c r="A156" s="100"/>
      <c r="B156" s="38"/>
      <c r="C156" s="98"/>
      <c r="D156" s="101"/>
      <c r="E156" s="92"/>
      <c r="F156" s="71"/>
      <c r="G156" s="68"/>
      <c r="H156" s="99"/>
      <c r="I156" s="68"/>
      <c r="J156" s="71"/>
      <c r="K156" s="74"/>
    </row>
    <row r="157">
      <c r="A157" s="100"/>
      <c r="B157" s="38"/>
      <c r="C157" s="98"/>
      <c r="D157" s="101"/>
      <c r="E157" s="92"/>
      <c r="F157" s="71"/>
      <c r="G157" s="68"/>
      <c r="H157" s="99"/>
      <c r="I157" s="68"/>
      <c r="J157" s="71"/>
      <c r="K157" s="74"/>
    </row>
    <row r="158">
      <c r="A158" s="100"/>
      <c r="B158" s="38"/>
      <c r="C158" s="98"/>
      <c r="D158" s="101"/>
      <c r="E158" s="92"/>
      <c r="F158" s="71"/>
      <c r="G158" s="68"/>
      <c r="H158" s="99"/>
      <c r="I158" s="68"/>
      <c r="J158" s="71"/>
      <c r="K158" s="74"/>
    </row>
    <row r="159">
      <c r="A159" s="100"/>
      <c r="B159" s="38"/>
      <c r="C159" s="98"/>
      <c r="D159" s="101"/>
      <c r="E159" s="92"/>
      <c r="F159" s="71"/>
      <c r="G159" s="68"/>
      <c r="H159" s="99"/>
      <c r="I159" s="68"/>
      <c r="J159" s="71"/>
      <c r="K159" s="74"/>
    </row>
    <row r="160">
      <c r="A160" s="100"/>
      <c r="B160" s="38"/>
      <c r="C160" s="98"/>
      <c r="D160" s="101"/>
      <c r="E160" s="92"/>
      <c r="F160" s="71"/>
      <c r="G160" s="68"/>
      <c r="H160" s="99"/>
      <c r="I160" s="68"/>
      <c r="J160" s="71"/>
      <c r="K160" s="74"/>
    </row>
    <row r="161">
      <c r="A161" s="100"/>
      <c r="B161" s="38"/>
      <c r="C161" s="98"/>
      <c r="D161" s="101"/>
      <c r="E161" s="92"/>
      <c r="F161" s="71"/>
      <c r="G161" s="68"/>
      <c r="H161" s="99"/>
      <c r="I161" s="68"/>
      <c r="J161" s="71"/>
      <c r="K161" s="74"/>
    </row>
    <row r="162" ht="22.5" customHeight="1">
      <c r="A162" s="100"/>
      <c r="B162" s="102"/>
      <c r="C162" s="103"/>
      <c r="D162" s="104"/>
      <c r="E162" s="105"/>
      <c r="F162" s="106"/>
      <c r="G162" s="68"/>
      <c r="H162" s="107"/>
      <c r="I162" s="68"/>
      <c r="J162" s="106"/>
      <c r="K162" s="74"/>
    </row>
    <row r="163" ht="22.5" customHeight="1">
      <c r="A163" s="108"/>
      <c r="B163" s="109"/>
      <c r="C163" s="110"/>
      <c r="D163" s="111"/>
      <c r="E163" s="112" t="s">
        <v>28</v>
      </c>
      <c r="F163" s="113"/>
      <c r="G163" s="114"/>
      <c r="H163" s="115">
        <f>sum(H7:H162)</f>
        <v>106465554</v>
      </c>
      <c r="I163" s="116"/>
      <c r="J163" s="117"/>
      <c r="K163" s="108"/>
    </row>
    <row r="164" ht="22.5" customHeight="1">
      <c r="A164" s="108"/>
      <c r="B164" s="108"/>
      <c r="C164" s="118"/>
      <c r="D164" s="118"/>
      <c r="E164" s="12"/>
      <c r="F164" s="13"/>
      <c r="G164" s="5"/>
      <c r="H164" s="119"/>
      <c r="I164" s="6"/>
      <c r="J164" s="7"/>
      <c r="K164" s="7"/>
    </row>
    <row r="165" ht="22.5" customHeight="1">
      <c r="A165" s="1"/>
      <c r="B165" s="14" t="s">
        <v>29</v>
      </c>
      <c r="C165" s="15"/>
      <c r="D165" s="15"/>
      <c r="E165" s="120" t="str">
        <f>#REF!</f>
        <v>#REF!</v>
      </c>
      <c r="F165" s="17"/>
      <c r="G165" s="18"/>
      <c r="H165" s="121"/>
      <c r="I165" s="19"/>
      <c r="J165" s="20"/>
      <c r="K165" s="20"/>
    </row>
    <row r="166" ht="22.5" customHeight="1">
      <c r="A166" s="1"/>
      <c r="B166" s="122"/>
      <c r="C166" s="123"/>
      <c r="D166" s="123"/>
      <c r="E166" s="124"/>
      <c r="F166" s="125"/>
      <c r="G166" s="126"/>
      <c r="H166" s="127"/>
      <c r="I166" s="128"/>
      <c r="J166" s="129"/>
      <c r="K166" s="129"/>
    </row>
    <row r="167" ht="22.5" customHeight="1">
      <c r="A167" s="1"/>
      <c r="B167" s="1"/>
      <c r="C167" s="2"/>
      <c r="D167" s="2"/>
      <c r="E167" s="12"/>
      <c r="F167" s="13"/>
      <c r="G167" s="5"/>
      <c r="H167" s="119"/>
      <c r="I167" s="6"/>
      <c r="J167" s="7"/>
      <c r="K167" s="7"/>
    </row>
    <row r="168" ht="22.5" customHeight="1">
      <c r="A168" s="1"/>
      <c r="B168" s="130" t="s">
        <v>30</v>
      </c>
      <c r="C168" s="131"/>
      <c r="D168" s="131"/>
      <c r="E168" s="132"/>
      <c r="F168" s="133"/>
      <c r="G168" s="134"/>
      <c r="H168" s="135"/>
      <c r="I168" s="136"/>
      <c r="J168" s="7"/>
      <c r="K168" s="7"/>
    </row>
    <row r="169" ht="22.5" customHeight="1">
      <c r="A169" s="2"/>
      <c r="B169" s="137" t="s">
        <v>28</v>
      </c>
      <c r="C169" s="137"/>
      <c r="D169" s="137" t="s">
        <v>31</v>
      </c>
      <c r="E169" s="138" t="s">
        <v>32</v>
      </c>
      <c r="F169" s="139" t="s">
        <v>33</v>
      </c>
      <c r="G169" s="140"/>
      <c r="H169" s="141" t="s">
        <v>34</v>
      </c>
      <c r="I169" s="140"/>
      <c r="J169" s="142"/>
      <c r="K169" s="142"/>
    </row>
    <row r="170" ht="37.5" customHeight="1">
      <c r="A170" s="108"/>
      <c r="B170" s="143">
        <f>H163</f>
        <v>106465554</v>
      </c>
      <c r="C170" s="144"/>
      <c r="D170" s="144"/>
      <c r="E170" s="145" t="str">
        <f>#REF!</f>
        <v>#REF!</v>
      </c>
      <c r="F170" s="146"/>
      <c r="G170" s="147"/>
      <c r="H170" s="119" t="str">
        <f>B170-E170</f>
        <v>#REF!</v>
      </c>
      <c r="I170" s="148"/>
      <c r="J170" s="7"/>
      <c r="K170" s="7"/>
    </row>
    <row r="171" ht="22.5" customHeight="1">
      <c r="A171" s="108"/>
      <c r="B171" s="108"/>
      <c r="C171" s="118"/>
      <c r="D171" s="118"/>
      <c r="E171" s="12"/>
      <c r="F171" s="13"/>
      <c r="G171" s="5"/>
      <c r="H171" s="119"/>
      <c r="I171" s="6"/>
      <c r="J171" s="7"/>
      <c r="K171" s="7"/>
    </row>
    <row r="172" ht="22.5" customHeight="1">
      <c r="A172" s="1"/>
      <c r="B172" s="130" t="s">
        <v>35</v>
      </c>
      <c r="C172" s="131"/>
      <c r="D172" s="131"/>
      <c r="E172" s="132"/>
      <c r="F172" s="133"/>
      <c r="G172" s="134"/>
      <c r="H172" s="135"/>
      <c r="I172" s="136"/>
      <c r="J172" s="7"/>
      <c r="K172" s="7"/>
    </row>
    <row r="173" ht="22.5" customHeight="1">
      <c r="A173" s="2"/>
      <c r="B173" s="137" t="s">
        <v>36</v>
      </c>
      <c r="C173" s="137"/>
      <c r="D173" s="137"/>
      <c r="E173" s="149" t="str">
        <f>'Spending 25.06'!F99+#REF!</f>
        <v>#REF!</v>
      </c>
      <c r="F173" s="150"/>
      <c r="G173" s="151"/>
      <c r="H173" s="141"/>
      <c r="I173" s="151"/>
      <c r="J173" s="142"/>
      <c r="K173" s="142"/>
    </row>
    <row r="174" ht="22.5" customHeight="1">
      <c r="A174" s="108"/>
      <c r="B174" s="108"/>
      <c r="C174" s="118"/>
      <c r="D174" s="118"/>
      <c r="E174" s="12"/>
      <c r="F174" s="13"/>
      <c r="G174" s="5"/>
      <c r="H174" s="119"/>
      <c r="I174" s="6"/>
      <c r="J174" s="7"/>
      <c r="K174" s="7"/>
    </row>
    <row r="175" ht="22.5" customHeight="1">
      <c r="A175" s="108"/>
      <c r="B175" s="130" t="s">
        <v>37</v>
      </c>
      <c r="C175" s="118"/>
      <c r="D175" s="118"/>
      <c r="E175" s="12"/>
      <c r="F175" s="13"/>
      <c r="G175" s="5"/>
      <c r="H175" s="119"/>
      <c r="I175" s="6"/>
      <c r="J175" s="7"/>
      <c r="K175" s="7"/>
    </row>
    <row r="176" ht="22.5" customHeight="1">
      <c r="A176" s="108"/>
      <c r="B176" s="152"/>
      <c r="C176" s="153"/>
      <c r="D176" s="153"/>
      <c r="E176" s="154"/>
      <c r="F176" s="155"/>
      <c r="G176" s="156"/>
      <c r="H176" s="157"/>
      <c r="I176" s="158"/>
      <c r="J176" s="7"/>
      <c r="K176" s="7"/>
    </row>
    <row r="177" ht="22.5" customHeight="1">
      <c r="A177" s="108"/>
      <c r="B177" s="159"/>
      <c r="C177" s="160"/>
      <c r="D177" s="160"/>
      <c r="E177" s="161"/>
      <c r="F177" s="162"/>
      <c r="G177" s="163"/>
      <c r="H177" s="164"/>
      <c r="I177" s="158"/>
      <c r="J177" s="7"/>
      <c r="K177" s="7"/>
    </row>
    <row r="178" ht="22.5" customHeight="1">
      <c r="A178" s="108"/>
      <c r="B178" s="159"/>
      <c r="C178" s="160"/>
      <c r="D178" s="160"/>
      <c r="E178" s="161"/>
      <c r="F178" s="162"/>
      <c r="G178" s="163"/>
      <c r="H178" s="164"/>
      <c r="I178" s="158"/>
      <c r="J178" s="7"/>
      <c r="K178" s="7"/>
    </row>
    <row r="179" ht="22.5" customHeight="1">
      <c r="A179" s="108"/>
      <c r="B179" s="165"/>
      <c r="C179" s="166"/>
      <c r="D179" s="166"/>
      <c r="E179" s="167"/>
      <c r="F179" s="168"/>
      <c r="G179" s="169"/>
      <c r="H179" s="170"/>
      <c r="I179" s="158"/>
      <c r="J179" s="7"/>
      <c r="K179" s="7"/>
    </row>
    <row r="180" ht="22.5" customHeight="1">
      <c r="A180" s="108"/>
      <c r="B180" s="108"/>
      <c r="C180" s="118"/>
      <c r="D180" s="118"/>
      <c r="E180" s="12"/>
      <c r="F180" s="13"/>
      <c r="G180" s="5"/>
      <c r="H180" s="119"/>
      <c r="I180" s="6"/>
      <c r="J180" s="7"/>
      <c r="K180" s="7"/>
    </row>
    <row r="181" ht="22.5" customHeight="1">
      <c r="A181" s="108"/>
      <c r="B181" s="130" t="s">
        <v>38</v>
      </c>
      <c r="C181" s="131"/>
      <c r="D181" s="131"/>
      <c r="E181" s="132"/>
      <c r="F181" s="133"/>
      <c r="G181" s="134"/>
      <c r="H181" s="135"/>
      <c r="I181" s="136"/>
      <c r="J181" s="7"/>
      <c r="K181" s="7"/>
    </row>
    <row r="182" ht="22.5" customHeight="1">
      <c r="A182" s="108"/>
      <c r="B182" s="137" t="s">
        <v>34</v>
      </c>
      <c r="C182" s="137"/>
      <c r="D182" s="137" t="s">
        <v>31</v>
      </c>
      <c r="E182" s="138" t="s">
        <v>36</v>
      </c>
      <c r="F182" s="139" t="s">
        <v>33</v>
      </c>
      <c r="G182" s="140"/>
      <c r="H182" s="141" t="s">
        <v>39</v>
      </c>
      <c r="I182" s="140"/>
      <c r="J182" s="142"/>
      <c r="K182" s="142"/>
    </row>
    <row r="183" ht="22.5" customHeight="1">
      <c r="A183" s="108"/>
      <c r="B183" s="143" t="str">
        <f>H170</f>
        <v>#REF!</v>
      </c>
      <c r="C183" s="171"/>
      <c r="D183" s="171"/>
      <c r="E183" s="172" t="str">
        <f>E173</f>
        <v>#REF!</v>
      </c>
      <c r="F183" s="171"/>
      <c r="G183" s="171"/>
      <c r="H183" s="173" t="str">
        <f>H170-E173</f>
        <v>#REF!</v>
      </c>
      <c r="I183" s="143"/>
      <c r="J183" s="7"/>
      <c r="K183" s="7"/>
    </row>
    <row r="184" ht="22.5" customHeight="1">
      <c r="A184" s="108"/>
      <c r="B184" s="108"/>
      <c r="C184" s="118"/>
      <c r="D184" s="118"/>
      <c r="E184" s="12"/>
      <c r="F184" s="13"/>
      <c r="G184" s="5"/>
      <c r="H184" s="119"/>
      <c r="I184" s="6"/>
      <c r="J184" s="7"/>
      <c r="K184" s="7"/>
    </row>
    <row r="185" ht="22.5" customHeight="1">
      <c r="A185" s="108"/>
      <c r="B185" s="137" t="s">
        <v>40</v>
      </c>
      <c r="C185" s="137"/>
      <c r="D185" s="137" t="s">
        <v>41</v>
      </c>
      <c r="E185" s="138" t="s">
        <v>42</v>
      </c>
      <c r="F185" s="139" t="s">
        <v>33</v>
      </c>
      <c r="G185" s="140"/>
      <c r="H185" s="141" t="s">
        <v>43</v>
      </c>
      <c r="I185" s="140"/>
      <c r="J185" s="142"/>
      <c r="K185" s="142"/>
    </row>
    <row r="186" ht="22.5" customHeight="1">
      <c r="A186" s="108"/>
      <c r="B186" s="143" t="str">
        <f>H183</f>
        <v>#REF!</v>
      </c>
      <c r="C186" s="147"/>
      <c r="D186" s="147"/>
      <c r="E186" s="174">
        <v>5.0</v>
      </c>
      <c r="F186" s="147"/>
      <c r="G186" s="147"/>
      <c r="H186" s="119" t="str">
        <f>B186/E186</f>
        <v>#REF!</v>
      </c>
      <c r="I186" s="148"/>
      <c r="J186" s="7"/>
      <c r="K186" s="7"/>
    </row>
    <row r="187" ht="22.5" customHeight="1">
      <c r="A187" s="108"/>
      <c r="B187" s="108"/>
      <c r="C187" s="118"/>
      <c r="D187" s="118"/>
      <c r="E187" s="12"/>
      <c r="F187" s="13"/>
      <c r="G187" s="5"/>
      <c r="H187" s="119"/>
      <c r="I187" s="6"/>
      <c r="J187" s="7"/>
      <c r="K187" s="7"/>
    </row>
    <row r="188" ht="22.5" customHeight="1">
      <c r="A188" s="108"/>
      <c r="B188" s="175" t="s">
        <v>44</v>
      </c>
      <c r="C188" s="118"/>
      <c r="D188" s="118"/>
      <c r="E188" s="12"/>
      <c r="F188" s="13"/>
      <c r="G188" s="5"/>
      <c r="H188" s="119"/>
      <c r="I188" s="6"/>
      <c r="J188" s="7"/>
      <c r="K188" s="7"/>
    </row>
    <row r="189" ht="22.5" customHeight="1">
      <c r="A189" s="108"/>
      <c r="B189" s="176"/>
      <c r="C189" s="177"/>
      <c r="D189" s="177"/>
      <c r="E189" s="178"/>
      <c r="F189" s="179"/>
      <c r="G189" s="180"/>
      <c r="H189" s="157"/>
      <c r="I189" s="181"/>
      <c r="J189" s="7"/>
      <c r="K189" s="7"/>
    </row>
    <row r="190" ht="22.5" customHeight="1">
      <c r="A190" s="108"/>
      <c r="B190" s="182"/>
      <c r="C190" s="183"/>
      <c r="D190" s="183"/>
      <c r="E190" s="184"/>
      <c r="F190" s="185"/>
      <c r="G190" s="186"/>
      <c r="H190" s="164"/>
      <c r="I190" s="181"/>
      <c r="J190" s="7"/>
      <c r="K190" s="7"/>
    </row>
    <row r="191" ht="22.5" customHeight="1">
      <c r="A191" s="108"/>
      <c r="B191" s="182"/>
      <c r="C191" s="183"/>
      <c r="D191" s="183"/>
      <c r="E191" s="184"/>
      <c r="F191" s="185"/>
      <c r="G191" s="186"/>
      <c r="H191" s="164"/>
      <c r="I191" s="181"/>
      <c r="J191" s="7"/>
      <c r="K191" s="7"/>
    </row>
    <row r="192" ht="22.5" customHeight="1">
      <c r="A192" s="108"/>
      <c r="B192" s="182"/>
      <c r="C192" s="183"/>
      <c r="D192" s="183"/>
      <c r="E192" s="184"/>
      <c r="F192" s="185"/>
      <c r="G192" s="186"/>
      <c r="H192" s="164"/>
      <c r="I192" s="181"/>
      <c r="J192" s="7"/>
      <c r="K192" s="7"/>
    </row>
    <row r="193" ht="22.5" customHeight="1">
      <c r="A193" s="108"/>
      <c r="B193" s="182"/>
      <c r="C193" s="183"/>
      <c r="D193" s="183"/>
      <c r="E193" s="184"/>
      <c r="F193" s="185"/>
      <c r="G193" s="186"/>
      <c r="H193" s="164"/>
      <c r="I193" s="181"/>
      <c r="J193" s="7"/>
      <c r="K193" s="7"/>
    </row>
    <row r="194" ht="22.5" customHeight="1">
      <c r="A194" s="108"/>
      <c r="B194" s="182"/>
      <c r="C194" s="183"/>
      <c r="D194" s="183"/>
      <c r="E194" s="184"/>
      <c r="F194" s="185"/>
      <c r="G194" s="186"/>
      <c r="H194" s="164"/>
      <c r="I194" s="181"/>
      <c r="J194" s="7"/>
      <c r="K194" s="7"/>
    </row>
    <row r="195" ht="22.5" customHeight="1">
      <c r="A195" s="108"/>
      <c r="B195" s="182"/>
      <c r="C195" s="183"/>
      <c r="D195" s="183"/>
      <c r="E195" s="184"/>
      <c r="F195" s="185"/>
      <c r="G195" s="186"/>
      <c r="H195" s="164"/>
      <c r="I195" s="181"/>
      <c r="J195" s="7"/>
      <c r="K195" s="7"/>
    </row>
    <row r="196" ht="22.5" customHeight="1">
      <c r="A196" s="108"/>
      <c r="B196" s="182"/>
      <c r="C196" s="183"/>
      <c r="D196" s="183"/>
      <c r="E196" s="184"/>
      <c r="F196" s="185"/>
      <c r="G196" s="186"/>
      <c r="H196" s="164"/>
      <c r="I196" s="181"/>
      <c r="J196" s="7"/>
      <c r="K196" s="7"/>
    </row>
    <row r="197" ht="22.5" customHeight="1">
      <c r="A197" s="108"/>
      <c r="B197" s="182"/>
      <c r="C197" s="183"/>
      <c r="D197" s="183"/>
      <c r="E197" s="184"/>
      <c r="F197" s="185"/>
      <c r="G197" s="186"/>
      <c r="H197" s="164"/>
      <c r="I197" s="181"/>
      <c r="J197" s="7"/>
      <c r="K197" s="7"/>
    </row>
    <row r="198" ht="37.5" customHeight="1">
      <c r="A198" s="108"/>
      <c r="B198" s="187"/>
      <c r="C198" s="188"/>
      <c r="D198" s="188"/>
      <c r="E198" s="189"/>
      <c r="F198" s="190"/>
      <c r="G198" s="191"/>
      <c r="H198" s="170"/>
      <c r="I198" s="181"/>
      <c r="J198" s="7"/>
      <c r="K198" s="7"/>
    </row>
    <row r="199" ht="37.5" customHeight="1">
      <c r="A199" s="108"/>
      <c r="B199" s="108"/>
      <c r="C199" s="118"/>
      <c r="D199" s="118"/>
      <c r="E199" s="12"/>
      <c r="F199" s="13"/>
      <c r="G199" s="5"/>
      <c r="H199" s="119"/>
      <c r="I199" s="6"/>
      <c r="J199" s="7"/>
      <c r="K199" s="7"/>
    </row>
    <row r="200" ht="37.5" customHeight="1">
      <c r="A200" s="108"/>
      <c r="B200" s="108"/>
      <c r="C200" s="118"/>
      <c r="D200" s="118"/>
      <c r="E200" s="12"/>
      <c r="F200" s="13"/>
      <c r="G200" s="5"/>
      <c r="H200" s="119"/>
      <c r="I200" s="6"/>
      <c r="J200" s="7"/>
      <c r="K200" s="7"/>
    </row>
    <row r="201" ht="37.5" customHeight="1">
      <c r="A201" s="108"/>
      <c r="B201" s="108"/>
      <c r="C201" s="118"/>
      <c r="D201" s="118"/>
      <c r="E201" s="12"/>
      <c r="F201" s="13"/>
      <c r="G201" s="5"/>
      <c r="H201" s="119"/>
      <c r="I201" s="6"/>
      <c r="J201" s="7"/>
      <c r="K201" s="7"/>
    </row>
    <row r="202" ht="37.5" customHeight="1">
      <c r="A202" s="108"/>
      <c r="B202" s="108"/>
      <c r="C202" s="118"/>
      <c r="D202" s="118"/>
      <c r="E202" s="12"/>
      <c r="F202" s="13"/>
      <c r="G202" s="5"/>
      <c r="H202" s="119"/>
      <c r="I202" s="6"/>
      <c r="J202" s="7"/>
      <c r="K202" s="7"/>
    </row>
    <row r="203" ht="37.5" customHeight="1">
      <c r="A203" s="108"/>
      <c r="B203" s="108"/>
      <c r="C203" s="118"/>
      <c r="D203" s="118"/>
      <c r="E203" s="12"/>
      <c r="F203" s="13"/>
      <c r="G203" s="5"/>
      <c r="H203" s="119"/>
      <c r="I203" s="6"/>
      <c r="J203" s="7"/>
      <c r="K203" s="7"/>
    </row>
    <row r="204" ht="37.5" customHeight="1">
      <c r="A204" s="108"/>
      <c r="B204" s="108"/>
      <c r="C204" s="118"/>
      <c r="D204" s="118"/>
      <c r="E204" s="12"/>
      <c r="F204" s="13"/>
      <c r="G204" s="5"/>
      <c r="H204" s="119"/>
      <c r="I204" s="6"/>
      <c r="J204" s="7"/>
      <c r="K204" s="7"/>
    </row>
    <row r="205" ht="37.5" customHeight="1">
      <c r="A205" s="108"/>
      <c r="B205" s="108"/>
      <c r="C205" s="118"/>
      <c r="D205" s="118"/>
      <c r="E205" s="12"/>
      <c r="F205" s="13"/>
      <c r="G205" s="5"/>
      <c r="H205" s="119"/>
      <c r="I205" s="6"/>
      <c r="J205" s="7"/>
      <c r="K205" s="7"/>
    </row>
  </sheetData>
  <autoFilter ref="$A$6:$J$17">
    <sortState ref="A6:J17">
      <sortCondition ref="I6:I17"/>
      <sortCondition ref="G6:G17"/>
    </sortState>
  </autoFilter>
  <mergeCells count="2">
    <mergeCell ref="F5:G5"/>
    <mergeCell ref="I5:J5"/>
  </mergeCells>
  <dataValidations>
    <dataValidation type="list" allowBlank="1" showErrorMessage="1" sqref="D7:D13 D16:D137">
      <formula1>"Family,Gift,Design,Construction,UAD,N&amp;M studio,Saving interest,Banking interest,House rental money,Trash,A4 Class Parents,Loan,Lương hưu"</formula1>
    </dataValidation>
    <dataValidation type="list" allowBlank="1" showErrorMessage="1" sqref="G7:G162 I7:I162">
      <formula1>"Education fee,Extra Education fee,Talent Education fee,Books,Stationery,Travel,Café,Restaurant,Sightseeing,Exhibition,Museum,Funeral,Wedding,Gift,Charity,Spirituality,Medical exam,Body care,Cosmetic,Medical Insurrance,Go Market,Breakfast,Extra meal,Nghĩa,"&amp;"Mai,Totto,Lego,Phone,Internet,Spotify,Banking information,Fuel,Motorcycle maintenance,Parking,Cleaning home,House shopping,House repair,Electricity,Water,Savings,Life Insurance,Design,Construction,T. Electricity,T. Water,T. Cleaning,T. shopping,T. Mainter"&amp;"nance,T. Exchange,T. Tax &amp; Social,T. Renovation,ID Student,A4 Class,Education,Enjoy,For give,Health,Living,Wearing,Information,Transportation,Housing maintenace,Living Expense,Savings,N&amp;M Studio,Togohub management,Totto fund,Lego fund,N&amp;M Salary,Loan,Papa"&amp;" fund,Nghia fund,Tablets"</formula1>
    </dataValidation>
    <dataValidation type="list" allowBlank="1" showErrorMessage="1" sqref="D138:D162">
      <formula1>"Education,Enjoy,For give,Health,Living,Savings,N&amp;M studio,Togohub management,Totto Fund,Lego Fund,ID stufdent,A4 Class"</formula1>
    </dataValidation>
    <dataValidation type="list" allowBlank="1" sqref="B7:B162">
      <formula1>"1,2,3,4,5,6,7,8,9,10,11,12"</formula1>
    </dataValidation>
    <dataValidation type="list" allowBlank="1" showErrorMessage="1" sqref="D14:D15">
      <formula1>"Family,Gift,Design,Construction,UAD,N&amp;M studio,Saving interest,Banking interest,House rental money,Trash,A4 Class Parents"</formula1>
    </dataValidation>
    <dataValidation type="list" allowBlank="1" showErrorMessage="1" sqref="J7:K8 J9:J10 F7:F162 J11:K162">
      <formula1>"Cash,BIDV,Vietcombank,Vp bank Lady,Moca,Momo,Zalo,Saving"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2.63"/>
    <col customWidth="1" min="3" max="27" width="15.13"/>
  </cols>
  <sheetData>
    <row r="1" ht="18.75" customHeight="1">
      <c r="A1" s="192" t="s">
        <v>45</v>
      </c>
    </row>
    <row r="2">
      <c r="A2" s="193"/>
      <c r="B2" s="194"/>
      <c r="C2" s="24" t="s">
        <v>6</v>
      </c>
      <c r="D2" s="195"/>
      <c r="E2" s="195"/>
      <c r="F2" s="195"/>
      <c r="G2" s="195"/>
      <c r="H2" s="195"/>
      <c r="I2" s="195"/>
      <c r="J2" s="195"/>
      <c r="K2" s="195"/>
      <c r="L2" s="25"/>
      <c r="M2" s="194"/>
      <c r="N2" s="194"/>
      <c r="O2" s="26"/>
      <c r="P2" s="26"/>
      <c r="Q2" s="26"/>
      <c r="R2" s="196"/>
      <c r="S2" s="24" t="s">
        <v>5</v>
      </c>
      <c r="T2" s="195"/>
      <c r="U2" s="195"/>
      <c r="V2" s="195"/>
      <c r="W2" s="195"/>
      <c r="X2" s="195"/>
      <c r="Y2" s="195"/>
      <c r="Z2" s="195"/>
      <c r="AA2" s="25"/>
    </row>
    <row r="3">
      <c r="A3" s="197"/>
      <c r="B3" s="198"/>
      <c r="C3" s="199" t="s">
        <v>46</v>
      </c>
      <c r="D3" s="199" t="s">
        <v>47</v>
      </c>
      <c r="E3" s="199" t="s">
        <v>15</v>
      </c>
      <c r="F3" s="199" t="s">
        <v>48</v>
      </c>
      <c r="G3" s="199" t="s">
        <v>49</v>
      </c>
      <c r="H3" s="199" t="s">
        <v>50</v>
      </c>
      <c r="I3" s="199" t="s">
        <v>51</v>
      </c>
      <c r="J3" s="199" t="s">
        <v>52</v>
      </c>
      <c r="K3" s="200" t="s">
        <v>53</v>
      </c>
      <c r="L3" s="201" t="s">
        <v>54</v>
      </c>
      <c r="M3" s="26"/>
      <c r="N3" s="26" t="s">
        <v>55</v>
      </c>
      <c r="O3" s="26" t="s">
        <v>55</v>
      </c>
      <c r="P3" s="26"/>
      <c r="Q3" s="196"/>
      <c r="R3" s="202" t="s">
        <v>46</v>
      </c>
      <c r="S3" s="202" t="s">
        <v>47</v>
      </c>
      <c r="T3" s="202" t="s">
        <v>15</v>
      </c>
      <c r="U3" s="202" t="s">
        <v>48</v>
      </c>
      <c r="V3" s="202" t="s">
        <v>49</v>
      </c>
      <c r="W3" s="202" t="s">
        <v>50</v>
      </c>
      <c r="X3" s="202" t="s">
        <v>51</v>
      </c>
      <c r="Y3" s="202" t="s">
        <v>52</v>
      </c>
      <c r="Z3" s="203" t="s">
        <v>53</v>
      </c>
      <c r="AA3" s="204" t="s">
        <v>56</v>
      </c>
    </row>
    <row r="4">
      <c r="A4" s="205">
        <v>1.0</v>
      </c>
      <c r="B4" s="206" t="s">
        <v>57</v>
      </c>
      <c r="C4" s="207">
        <f>sumifs('25.06'!$H$7:$H$162,'25.06'!$G$7:$G$162,$B4,'25.06'!$F$7:$F$162,C$3)</f>
        <v>0</v>
      </c>
      <c r="D4" s="207">
        <f>sumifs('25.06'!$H$7:$H$162,'25.06'!$G$7:$G$162,$B4,'25.06'!$F$7:$F$162,D$3)</f>
        <v>0</v>
      </c>
      <c r="E4" s="207">
        <f>sumifs('25.06'!$H$7:$H$162,'25.06'!$G$7:$G$162,$B4,'25.06'!$F$7:$F$162,E$3)</f>
        <v>0</v>
      </c>
      <c r="F4" s="207">
        <f>sumifs('25.06'!$H$7:$H$162,'25.06'!$G$7:$G$162,$B4,'25.06'!$F$7:$F$162,F$3)</f>
        <v>0</v>
      </c>
      <c r="G4" s="207">
        <f>sumifs('25.06'!$H$7:$H$162,'25.06'!$G$7:$G$162,$B4,'25.06'!$F$7:$F$162,G$3)</f>
        <v>0</v>
      </c>
      <c r="H4" s="207">
        <f>sumifs('25.06'!$H$7:$H$162,'25.06'!$G$7:$G$162,$B4,'25.06'!$F$7:$F$162,H$3)</f>
        <v>0</v>
      </c>
      <c r="I4" s="207">
        <f>sumifs('25.06'!$H$7:$H$162,'25.06'!$G$7:$G$162,$B4,'25.06'!$F$7:$F$162,I$3)</f>
        <v>0</v>
      </c>
      <c r="J4" s="207">
        <f>sumifs('25.06'!$H$7:$H$162,'25.06'!$G$7:$G$162,$B4,'25.06'!$F$7:$F$162,J$3)</f>
        <v>0</v>
      </c>
      <c r="K4" s="207">
        <f>sumifs('25.06'!$H$7:$H$162,'25.06'!$G$7:$G$162,$B4,'25.06'!$F$7:$F$162,K$3)</f>
        <v>0</v>
      </c>
      <c r="L4" s="208">
        <f t="shared" ref="L4:L69" si="1">sum(C4:K4)</f>
        <v>0</v>
      </c>
      <c r="M4" s="209"/>
      <c r="N4" s="209" t="str">
        <f t="shared" ref="N4:N9" si="2">L4/sum(L$4:L$9)</f>
        <v>#DIV/0!</v>
      </c>
      <c r="O4" s="209"/>
      <c r="P4" s="210">
        <f>sum(L4:L9)</f>
        <v>0</v>
      </c>
      <c r="Q4" s="209" t="str">
        <f>P4/sum($P$4:$P$57)</f>
        <v>#DIV/0!</v>
      </c>
      <c r="R4" s="207">
        <f>sumifs('25.06'!$H$7:$H$162,'25.06'!$I$7:$I$162,$B4,'25.06'!$J$7:$J$162,R$3)</f>
        <v>0</v>
      </c>
      <c r="S4" s="207">
        <f>sumifs('25.06'!$H$7:$H$162,'25.06'!$I$7:$I$162,$B4,'25.06'!$J$7:$J$162,S$3)</f>
        <v>0</v>
      </c>
      <c r="T4" s="207">
        <f>sumifs('25.06'!$H$7:$H$162,'25.06'!$I$7:$I$162,$B4,'25.06'!$J$7:$J$162,T$3)</f>
        <v>0</v>
      </c>
      <c r="U4" s="207">
        <f>sumifs('25.06'!$H$7:$H$162,'25.06'!$I$7:$I$162,$B4,'25.06'!$J$7:$J$162,U$3)</f>
        <v>0</v>
      </c>
      <c r="V4" s="207">
        <f>sumifs('25.06'!$H$7:$H$162,'25.06'!$I$7:$I$162,$B4,'25.06'!$J$7:$J$162,V$3)</f>
        <v>0</v>
      </c>
      <c r="W4" s="207">
        <f>sumifs('25.06'!$H$7:$H$162,'25.06'!$I$7:$I$162,$B4,'25.06'!$J$7:$J$162,W$3)</f>
        <v>0</v>
      </c>
      <c r="X4" s="207">
        <f>sumifs('25.06'!$H$7:$H$162,'25.06'!$I$7:$I$162,$B4,'25.06'!$J$7:$J$162,X$3)</f>
        <v>0</v>
      </c>
      <c r="Y4" s="207">
        <f>sumifs('25.06'!$H$7:$H$162,'25.06'!$I$7:$I$162,$B4,'25.06'!$J$7:$J$162,Y$3)</f>
        <v>0</v>
      </c>
      <c r="Z4" s="207">
        <f>sumifs('25.06'!$H$7:$H$162,'25.06'!$I$7:$I$162,$B4,'25.06'!$J$7:$J$162,Z$3)</f>
        <v>0</v>
      </c>
      <c r="AA4" s="208">
        <f t="shared" ref="AA4:AA24" si="3">sum(R4:Z4)</f>
        <v>0</v>
      </c>
    </row>
    <row r="5">
      <c r="A5" s="211">
        <v>44927.0</v>
      </c>
      <c r="B5" s="212" t="s">
        <v>58</v>
      </c>
      <c r="C5" s="213">
        <f>sumifs('25.06'!$H$7:$H$162,'25.06'!$G$7:$G$162,$B5,'25.06'!$F$7:$F$162,C$3)</f>
        <v>0</v>
      </c>
      <c r="D5" s="213">
        <f>sumifs('25.06'!$H$7:$H$162,'25.06'!$G$7:$G$162,$B5,'25.06'!$F$7:$F$162,D$3)</f>
        <v>0</v>
      </c>
      <c r="E5" s="213">
        <f>sumifs('25.06'!$H$7:$H$162,'25.06'!$G$7:$G$162,$B5,'25.06'!$F$7:$F$162,E$3)</f>
        <v>0</v>
      </c>
      <c r="F5" s="213">
        <f>sumifs('25.06'!$H$7:$H$162,'25.06'!$G$7:$G$162,$B5,'25.06'!$F$7:$F$162,F$3)</f>
        <v>0</v>
      </c>
      <c r="G5" s="213">
        <f>sumifs('25.06'!$H$7:$H$162,'25.06'!$G$7:$G$162,$B5,'25.06'!$F$7:$F$162,G$3)</f>
        <v>0</v>
      </c>
      <c r="H5" s="213">
        <f>sumifs('25.06'!$H$7:$H$162,'25.06'!$G$7:$G$162,$B5,'25.06'!$F$7:$F$162,H$3)</f>
        <v>0</v>
      </c>
      <c r="I5" s="213">
        <f>sumifs('25.06'!$H$7:$H$162,'25.06'!$G$7:$G$162,$B5,'25.06'!$F$7:$F$162,I$3)</f>
        <v>0</v>
      </c>
      <c r="J5" s="213">
        <f>sumifs('25.06'!$H$7:$H$162,'25.06'!$G$7:$G$162,$B5,'25.06'!$F$7:$F$162,J$3)</f>
        <v>0</v>
      </c>
      <c r="K5" s="213">
        <f>sumifs('25.06'!$H$7:$H$162,'25.06'!$G$7:$G$162,$B5,'25.06'!$F$7:$F$162,K$3)</f>
        <v>0</v>
      </c>
      <c r="L5" s="214">
        <f t="shared" si="1"/>
        <v>0</v>
      </c>
      <c r="M5" s="215"/>
      <c r="N5" s="215" t="str">
        <f t="shared" si="2"/>
        <v>#DIV/0!</v>
      </c>
      <c r="O5" s="215"/>
      <c r="R5" s="213">
        <f>sumifs('25.06'!$H$7:$H$162,'25.06'!$I$7:$I$162,$B5,'25.06'!$J$7:$J$162,R$3)</f>
        <v>0</v>
      </c>
      <c r="S5" s="213">
        <f>sumifs('25.06'!$H$7:$H$162,'25.06'!$I$7:$I$162,$B5,'25.06'!$J$7:$J$162,S$3)</f>
        <v>0</v>
      </c>
      <c r="T5" s="213">
        <f>sumifs('25.06'!$H$7:$H$162,'25.06'!$I$7:$I$162,$B5,'25.06'!$J$7:$J$162,T$3)</f>
        <v>0</v>
      </c>
      <c r="U5" s="213">
        <f>sumifs('25.06'!$H$7:$H$162,'25.06'!$I$7:$I$162,$B5,'25.06'!$J$7:$J$162,U$3)</f>
        <v>0</v>
      </c>
      <c r="V5" s="213">
        <f>sumifs('25.06'!$H$7:$H$162,'25.06'!$I$7:$I$162,$B5,'25.06'!$J$7:$J$162,V$3)</f>
        <v>0</v>
      </c>
      <c r="W5" s="213">
        <f>sumifs('25.06'!$H$7:$H$162,'25.06'!$I$7:$I$162,$B5,'25.06'!$J$7:$J$162,W$3)</f>
        <v>0</v>
      </c>
      <c r="X5" s="213">
        <f>sumifs('25.06'!$H$7:$H$162,'25.06'!$I$7:$I$162,$B5,'25.06'!$J$7:$J$162,X$3)</f>
        <v>0</v>
      </c>
      <c r="Y5" s="213">
        <f>sumifs('25.06'!$H$7:$H$162,'25.06'!$I$7:$I$162,$B5,'25.06'!$J$7:$J$162,Y$3)</f>
        <v>0</v>
      </c>
      <c r="Z5" s="213">
        <f>sumifs('25.06'!$H$7:$H$162,'25.06'!$I$7:$I$162,$B5,'25.06'!$J$7:$J$162,Z$3)</f>
        <v>0</v>
      </c>
      <c r="AA5" s="214">
        <f t="shared" si="3"/>
        <v>0</v>
      </c>
    </row>
    <row r="6">
      <c r="A6" s="211">
        <v>44958.0</v>
      </c>
      <c r="B6" s="212" t="s">
        <v>59</v>
      </c>
      <c r="C6" s="213">
        <f>sumifs('25.06'!$H$7:$H$162,'25.06'!$G$7:$G$162,$B6,'25.06'!$F$7:$F$162,C$3)</f>
        <v>0</v>
      </c>
      <c r="D6" s="213">
        <f>sumifs('25.06'!$H$7:$H$162,'25.06'!$G$7:$G$162,$B6,'25.06'!$F$7:$F$162,D$3)</f>
        <v>0</v>
      </c>
      <c r="E6" s="213">
        <f>sumifs('25.06'!$H$7:$H$162,'25.06'!$G$7:$G$162,$B6,'25.06'!$F$7:$F$162,E$3)</f>
        <v>0</v>
      </c>
      <c r="F6" s="213">
        <f>sumifs('25.06'!$H$7:$H$162,'25.06'!$G$7:$G$162,$B6,'25.06'!$F$7:$F$162,F$3)</f>
        <v>0</v>
      </c>
      <c r="G6" s="213">
        <f>sumifs('25.06'!$H$7:$H$162,'25.06'!$G$7:$G$162,$B6,'25.06'!$F$7:$F$162,G$3)</f>
        <v>0</v>
      </c>
      <c r="H6" s="213">
        <f>sumifs('25.06'!$H$7:$H$162,'25.06'!$G$7:$G$162,$B6,'25.06'!$F$7:$F$162,H$3)</f>
        <v>0</v>
      </c>
      <c r="I6" s="213">
        <f>sumifs('25.06'!$H$7:$H$162,'25.06'!$G$7:$G$162,$B6,'25.06'!$F$7:$F$162,I$3)</f>
        <v>0</v>
      </c>
      <c r="J6" s="213">
        <f>sumifs('25.06'!$H$7:$H$162,'25.06'!$G$7:$G$162,$B6,'25.06'!$F$7:$F$162,J$3)</f>
        <v>0</v>
      </c>
      <c r="K6" s="213">
        <f>sumifs('25.06'!$H$7:$H$162,'25.06'!$G$7:$G$162,$B6,'25.06'!$F$7:$F$162,K$3)</f>
        <v>0</v>
      </c>
      <c r="L6" s="214">
        <f t="shared" si="1"/>
        <v>0</v>
      </c>
      <c r="M6" s="215"/>
      <c r="N6" s="215" t="str">
        <f t="shared" si="2"/>
        <v>#DIV/0!</v>
      </c>
      <c r="O6" s="215"/>
      <c r="R6" s="213">
        <f>sumifs('25.06'!$H$7:$H$162,'25.06'!$I$7:$I$162,$B6,'25.06'!$J$7:$J$162,R$3)</f>
        <v>0</v>
      </c>
      <c r="S6" s="213">
        <f>sumifs('25.06'!$H$7:$H$162,'25.06'!$I$7:$I$162,$B6,'25.06'!$J$7:$J$162,S$3)</f>
        <v>0</v>
      </c>
      <c r="T6" s="213">
        <f>sumifs('25.06'!$H$7:$H$162,'25.06'!$I$7:$I$162,$B6,'25.06'!$J$7:$J$162,T$3)</f>
        <v>0</v>
      </c>
      <c r="U6" s="213">
        <f>sumifs('25.06'!$H$7:$H$162,'25.06'!$I$7:$I$162,$B6,'25.06'!$J$7:$J$162,U$3)</f>
        <v>0</v>
      </c>
      <c r="V6" s="213">
        <f>sumifs('25.06'!$H$7:$H$162,'25.06'!$I$7:$I$162,$B6,'25.06'!$J$7:$J$162,V$3)</f>
        <v>0</v>
      </c>
      <c r="W6" s="213">
        <f>sumifs('25.06'!$H$7:$H$162,'25.06'!$I$7:$I$162,$B6,'25.06'!$J$7:$J$162,W$3)</f>
        <v>0</v>
      </c>
      <c r="X6" s="213">
        <f>sumifs('25.06'!$H$7:$H$162,'25.06'!$I$7:$I$162,$B6,'25.06'!$J$7:$J$162,X$3)</f>
        <v>0</v>
      </c>
      <c r="Y6" s="213">
        <f>sumifs('25.06'!$H$7:$H$162,'25.06'!$I$7:$I$162,$B6,'25.06'!$J$7:$J$162,Y$3)</f>
        <v>0</v>
      </c>
      <c r="Z6" s="213">
        <f>sumifs('25.06'!$H$7:$H$162,'25.06'!$I$7:$I$162,$B6,'25.06'!$J$7:$J$162,Z$3)</f>
        <v>0</v>
      </c>
      <c r="AA6" s="214">
        <f t="shared" si="3"/>
        <v>0</v>
      </c>
    </row>
    <row r="7">
      <c r="A7" s="211">
        <v>44986.0</v>
      </c>
      <c r="B7" s="212" t="s">
        <v>60</v>
      </c>
      <c r="C7" s="213">
        <f>sumifs('25.06'!$H$7:$H$162,'25.06'!$G$7:$G$162,$B7,'25.06'!$F$7:$F$162,C$3)</f>
        <v>0</v>
      </c>
      <c r="D7" s="213">
        <f>sumifs('25.06'!$H$7:$H$162,'25.06'!$G$7:$G$162,$B7,'25.06'!$F$7:$F$162,D$3)</f>
        <v>0</v>
      </c>
      <c r="E7" s="213">
        <f>sumifs('25.06'!$H$7:$H$162,'25.06'!$G$7:$G$162,$B7,'25.06'!$F$7:$F$162,E$3)</f>
        <v>0</v>
      </c>
      <c r="F7" s="213">
        <f>sumifs('25.06'!$H$7:$H$162,'25.06'!$G$7:$G$162,$B7,'25.06'!$F$7:$F$162,F$3)</f>
        <v>0</v>
      </c>
      <c r="G7" s="213">
        <f>sumifs('25.06'!$H$7:$H$162,'25.06'!$G$7:$G$162,$B7,'25.06'!$F$7:$F$162,G$3)</f>
        <v>0</v>
      </c>
      <c r="H7" s="213">
        <f>sumifs('25.06'!$H$7:$H$162,'25.06'!$G$7:$G$162,$B7,'25.06'!$F$7:$F$162,H$3)</f>
        <v>0</v>
      </c>
      <c r="I7" s="213">
        <f>sumifs('25.06'!$H$7:$H$162,'25.06'!$G$7:$G$162,$B7,'25.06'!$F$7:$F$162,I$3)</f>
        <v>0</v>
      </c>
      <c r="J7" s="213">
        <f>sumifs('25.06'!$H$7:$H$162,'25.06'!$G$7:$G$162,$B7,'25.06'!$F$7:$F$162,J$3)</f>
        <v>0</v>
      </c>
      <c r="K7" s="213">
        <f>sumifs('25.06'!$H$7:$H$162,'25.06'!$G$7:$G$162,$B7,'25.06'!$F$7:$F$162,K$3)</f>
        <v>0</v>
      </c>
      <c r="L7" s="214">
        <f t="shared" si="1"/>
        <v>0</v>
      </c>
      <c r="M7" s="215"/>
      <c r="N7" s="215" t="str">
        <f t="shared" si="2"/>
        <v>#DIV/0!</v>
      </c>
      <c r="O7" s="215"/>
      <c r="R7" s="213">
        <f>sumifs('25.06'!$H$7:$H$162,'25.06'!$I$7:$I$162,$B7,'25.06'!$J$7:$J$162,R$3)</f>
        <v>0</v>
      </c>
      <c r="S7" s="213">
        <f>sumifs('25.06'!$H$7:$H$162,'25.06'!$I$7:$I$162,$B7,'25.06'!$J$7:$J$162,S$3)</f>
        <v>0</v>
      </c>
      <c r="T7" s="213">
        <f>sumifs('25.06'!$H$7:$H$162,'25.06'!$I$7:$I$162,$B7,'25.06'!$J$7:$J$162,T$3)</f>
        <v>0</v>
      </c>
      <c r="U7" s="213">
        <f>sumifs('25.06'!$H$7:$H$162,'25.06'!$I$7:$I$162,$B7,'25.06'!$J$7:$J$162,U$3)</f>
        <v>0</v>
      </c>
      <c r="V7" s="213">
        <f>sumifs('25.06'!$H$7:$H$162,'25.06'!$I$7:$I$162,$B7,'25.06'!$J$7:$J$162,V$3)</f>
        <v>0</v>
      </c>
      <c r="W7" s="213">
        <f>sumifs('25.06'!$H$7:$H$162,'25.06'!$I$7:$I$162,$B7,'25.06'!$J$7:$J$162,W$3)</f>
        <v>0</v>
      </c>
      <c r="X7" s="213">
        <f>sumifs('25.06'!$H$7:$H$162,'25.06'!$I$7:$I$162,$B7,'25.06'!$J$7:$J$162,X$3)</f>
        <v>0</v>
      </c>
      <c r="Y7" s="213">
        <f>sumifs('25.06'!$H$7:$H$162,'25.06'!$I$7:$I$162,$B7,'25.06'!$J$7:$J$162,Y$3)</f>
        <v>0</v>
      </c>
      <c r="Z7" s="213">
        <f>sumifs('25.06'!$H$7:$H$162,'25.06'!$I$7:$I$162,$B7,'25.06'!$J$7:$J$162,Z$3)</f>
        <v>0</v>
      </c>
      <c r="AA7" s="214">
        <f t="shared" si="3"/>
        <v>0</v>
      </c>
    </row>
    <row r="8">
      <c r="A8" s="211">
        <v>45017.0</v>
      </c>
      <c r="B8" s="212" t="s">
        <v>61</v>
      </c>
      <c r="C8" s="213">
        <f>sumifs('25.06'!$H$7:$H$162,'25.06'!$G$7:$G$162,$B8,'25.06'!$F$7:$F$162,C$3)</f>
        <v>0</v>
      </c>
      <c r="D8" s="213">
        <f>sumifs('25.06'!$H$7:$H$162,'25.06'!$G$7:$G$162,$B8,'25.06'!$F$7:$F$162,D$3)</f>
        <v>0</v>
      </c>
      <c r="E8" s="213">
        <f>sumifs('25.06'!$H$7:$H$162,'25.06'!$G$7:$G$162,$B8,'25.06'!$F$7:$F$162,E$3)</f>
        <v>0</v>
      </c>
      <c r="F8" s="213">
        <f>sumifs('25.06'!$H$7:$H$162,'25.06'!$G$7:$G$162,$B8,'25.06'!$F$7:$F$162,F$3)</f>
        <v>0</v>
      </c>
      <c r="G8" s="213">
        <f>sumifs('25.06'!$H$7:$H$162,'25.06'!$G$7:$G$162,$B8,'25.06'!$F$7:$F$162,G$3)</f>
        <v>0</v>
      </c>
      <c r="H8" s="213">
        <f>sumifs('25.06'!$H$7:$H$162,'25.06'!$G$7:$G$162,$B8,'25.06'!$F$7:$F$162,H$3)</f>
        <v>0</v>
      </c>
      <c r="I8" s="213">
        <f>sumifs('25.06'!$H$7:$H$162,'25.06'!$G$7:$G$162,$B8,'25.06'!$F$7:$F$162,I$3)</f>
        <v>0</v>
      </c>
      <c r="J8" s="213">
        <f>sumifs('25.06'!$H$7:$H$162,'25.06'!$G$7:$G$162,$B8,'25.06'!$F$7:$F$162,J$3)</f>
        <v>0</v>
      </c>
      <c r="K8" s="213">
        <f>sumifs('25.06'!$H$7:$H$162,'25.06'!$G$7:$G$162,$B8,'25.06'!$F$7:$F$162,K$3)</f>
        <v>0</v>
      </c>
      <c r="L8" s="214">
        <f t="shared" si="1"/>
        <v>0</v>
      </c>
      <c r="M8" s="215"/>
      <c r="N8" s="215" t="str">
        <f t="shared" si="2"/>
        <v>#DIV/0!</v>
      </c>
      <c r="O8" s="215"/>
      <c r="R8" s="213">
        <f>sumifs('25.06'!$H$7:$H$162,'25.06'!$I$7:$I$162,$B8,'25.06'!$J$7:$J$162,R$3)</f>
        <v>0</v>
      </c>
      <c r="S8" s="213">
        <f>sumifs('25.06'!$H$7:$H$162,'25.06'!$I$7:$I$162,$B8,'25.06'!$J$7:$J$162,S$3)</f>
        <v>0</v>
      </c>
      <c r="T8" s="213">
        <f>sumifs('25.06'!$H$7:$H$162,'25.06'!$I$7:$I$162,$B8,'25.06'!$J$7:$J$162,T$3)</f>
        <v>0</v>
      </c>
      <c r="U8" s="213">
        <f>sumifs('25.06'!$H$7:$H$162,'25.06'!$I$7:$I$162,$B8,'25.06'!$J$7:$J$162,U$3)</f>
        <v>0</v>
      </c>
      <c r="V8" s="213">
        <f>sumifs('25.06'!$H$7:$H$162,'25.06'!$I$7:$I$162,$B8,'25.06'!$J$7:$J$162,V$3)</f>
        <v>0</v>
      </c>
      <c r="W8" s="213">
        <f>sumifs('25.06'!$H$7:$H$162,'25.06'!$I$7:$I$162,$B8,'25.06'!$J$7:$J$162,W$3)</f>
        <v>0</v>
      </c>
      <c r="X8" s="213">
        <f>sumifs('25.06'!$H$7:$H$162,'25.06'!$I$7:$I$162,$B8,'25.06'!$J$7:$J$162,X$3)</f>
        <v>0</v>
      </c>
      <c r="Y8" s="213">
        <f>sumifs('25.06'!$H$7:$H$162,'25.06'!$I$7:$I$162,$B8,'25.06'!$J$7:$J$162,Y$3)</f>
        <v>0</v>
      </c>
      <c r="Z8" s="213">
        <f>sumifs('25.06'!$H$7:$H$162,'25.06'!$I$7:$I$162,$B8,'25.06'!$J$7:$J$162,Z$3)</f>
        <v>0</v>
      </c>
      <c r="AA8" s="214">
        <f t="shared" si="3"/>
        <v>0</v>
      </c>
    </row>
    <row r="9">
      <c r="A9" s="216">
        <v>45047.0</v>
      </c>
      <c r="B9" s="217" t="s">
        <v>62</v>
      </c>
      <c r="C9" s="218">
        <f>sumifs('25.06'!$H$7:$H$162,'25.06'!$G$7:$G$162,$B9,'25.06'!$F$7:$F$162,C$3)</f>
        <v>0</v>
      </c>
      <c r="D9" s="218">
        <f>sumifs('25.06'!$H$7:$H$162,'25.06'!$G$7:$G$162,$B9,'25.06'!$F$7:$F$162,D$3)</f>
        <v>0</v>
      </c>
      <c r="E9" s="218">
        <f>sumifs('25.06'!$H$7:$H$162,'25.06'!$G$7:$G$162,$B9,'25.06'!$F$7:$F$162,E$3)</f>
        <v>0</v>
      </c>
      <c r="F9" s="218">
        <f>sumifs('25.06'!$H$7:$H$162,'25.06'!$G$7:$G$162,$B9,'25.06'!$F$7:$F$162,F$3)</f>
        <v>0</v>
      </c>
      <c r="G9" s="218">
        <f>sumifs('25.06'!$H$7:$H$162,'25.06'!$G$7:$G$162,$B9,'25.06'!$F$7:$F$162,G$3)</f>
        <v>0</v>
      </c>
      <c r="H9" s="218">
        <f>sumifs('25.06'!$H$7:$H$162,'25.06'!$G$7:$G$162,$B9,'25.06'!$F$7:$F$162,H$3)</f>
        <v>0</v>
      </c>
      <c r="I9" s="218">
        <f>sumifs('25.06'!$H$7:$H$162,'25.06'!$G$7:$G$162,$B9,'25.06'!$F$7:$F$162,I$3)</f>
        <v>0</v>
      </c>
      <c r="J9" s="218">
        <f>sumifs('25.06'!$H$7:$H$162,'25.06'!$G$7:$G$162,$B9,'25.06'!$F$7:$F$162,J$3)</f>
        <v>0</v>
      </c>
      <c r="K9" s="218">
        <f>sumifs('25.06'!$H$7:$H$162,'25.06'!$G$7:$G$162,$B9,'25.06'!$F$7:$F$162,K$3)</f>
        <v>0</v>
      </c>
      <c r="L9" s="214">
        <f t="shared" si="1"/>
        <v>0</v>
      </c>
      <c r="M9" s="215"/>
      <c r="N9" s="215" t="str">
        <f t="shared" si="2"/>
        <v>#DIV/0!</v>
      </c>
      <c r="O9" s="215"/>
      <c r="R9" s="218">
        <f>sumifs('25.06'!$H$7:$H$162,'25.06'!$I$7:$I$162,$B9,'25.06'!$J$7:$J$162,R$3)</f>
        <v>0</v>
      </c>
      <c r="S9" s="218">
        <f>sumifs('25.06'!$H$7:$H$162,'25.06'!$I$7:$I$162,$B9,'25.06'!$J$7:$J$162,S$3)</f>
        <v>0</v>
      </c>
      <c r="T9" s="218">
        <f>sumifs('25.06'!$H$7:$H$162,'25.06'!$I$7:$I$162,$B9,'25.06'!$J$7:$J$162,T$3)</f>
        <v>0</v>
      </c>
      <c r="U9" s="218">
        <f>sumifs('25.06'!$H$7:$H$162,'25.06'!$I$7:$I$162,$B9,'25.06'!$J$7:$J$162,U$3)</f>
        <v>0</v>
      </c>
      <c r="V9" s="218">
        <f>sumifs('25.06'!$H$7:$H$162,'25.06'!$I$7:$I$162,$B9,'25.06'!$J$7:$J$162,V$3)</f>
        <v>0</v>
      </c>
      <c r="W9" s="218">
        <f>sumifs('25.06'!$H$7:$H$162,'25.06'!$I$7:$I$162,$B9,'25.06'!$J$7:$J$162,W$3)</f>
        <v>0</v>
      </c>
      <c r="X9" s="218">
        <f>sumifs('25.06'!$H$7:$H$162,'25.06'!$I$7:$I$162,$B9,'25.06'!$J$7:$J$162,X$3)</f>
        <v>0</v>
      </c>
      <c r="Y9" s="218">
        <f>sumifs('25.06'!$H$7:$H$162,'25.06'!$I$7:$I$162,$B9,'25.06'!$J$7:$J$162,Y$3)</f>
        <v>0</v>
      </c>
      <c r="Z9" s="218">
        <f>sumifs('25.06'!$H$7:$H$162,'25.06'!$I$7:$I$162,$B9,'25.06'!$J$7:$J$162,Z$3)</f>
        <v>0</v>
      </c>
      <c r="AA9" s="214">
        <f t="shared" si="3"/>
        <v>0</v>
      </c>
    </row>
    <row r="10">
      <c r="A10" s="205">
        <v>2.0</v>
      </c>
      <c r="B10" s="206" t="s">
        <v>63</v>
      </c>
      <c r="C10" s="207">
        <f>sumifs('25.06'!$H$7:$H$162,'25.06'!$G$7:$G$162,$B10,'25.06'!$F$7:$F$162,C$3)</f>
        <v>0</v>
      </c>
      <c r="D10" s="207">
        <f>sumifs('25.06'!$H$7:$H$162,'25.06'!$G$7:$G$162,$B10,'25.06'!$F$7:$F$162,D$3)</f>
        <v>0</v>
      </c>
      <c r="E10" s="207">
        <f>sumifs('25.06'!$H$7:$H$162,'25.06'!$G$7:$G$162,$B10,'25.06'!$F$7:$F$162,E$3)</f>
        <v>0</v>
      </c>
      <c r="F10" s="207">
        <f>sumifs('25.06'!$H$7:$H$162,'25.06'!$G$7:$G$162,$B10,'25.06'!$F$7:$F$162,F$3)</f>
        <v>0</v>
      </c>
      <c r="G10" s="207">
        <f>sumifs('25.06'!$H$7:$H$162,'25.06'!$G$7:$G$162,$B10,'25.06'!$F$7:$F$162,G$3)</f>
        <v>0</v>
      </c>
      <c r="H10" s="207">
        <f>sumifs('25.06'!$H$7:$H$162,'25.06'!$G$7:$G$162,$B10,'25.06'!$F$7:$F$162,H$3)</f>
        <v>0</v>
      </c>
      <c r="I10" s="207">
        <f>sumifs('25.06'!$H$7:$H$162,'25.06'!$G$7:$G$162,$B10,'25.06'!$F$7:$F$162,I$3)</f>
        <v>0</v>
      </c>
      <c r="J10" s="207">
        <f>sumifs('25.06'!$H$7:$H$162,'25.06'!$G$7:$G$162,$B10,'25.06'!$F$7:$F$162,J$3)</f>
        <v>0</v>
      </c>
      <c r="K10" s="207">
        <f>sumifs('25.06'!$H$7:$H$162,'25.06'!$G$7:$G$162,$B10,'25.06'!$F$7:$F$162,K$3)</f>
        <v>0</v>
      </c>
      <c r="L10" s="208">
        <f t="shared" si="1"/>
        <v>0</v>
      </c>
      <c r="M10" s="209"/>
      <c r="N10" s="209" t="str">
        <f t="shared" ref="N10:N16" si="4">L10/sum(L$10:L$16)</f>
        <v>#DIV/0!</v>
      </c>
      <c r="O10" s="209"/>
      <c r="P10" s="210">
        <f>sum(L10:L16)</f>
        <v>0</v>
      </c>
      <c r="Q10" s="209" t="str">
        <f>P10/sum($P$4:$P$57)</f>
        <v>#DIV/0!</v>
      </c>
      <c r="R10" s="207">
        <f>sumifs('25.06'!$H$7:$H$162,'25.06'!$I$7:$I$162,$B10,'25.06'!$J$7:$J$162,R$3)</f>
        <v>0</v>
      </c>
      <c r="S10" s="207">
        <f>sumifs('25.06'!$H$7:$H$162,'25.06'!$I$7:$I$162,$B10,'25.06'!$J$7:$J$162,S$3)</f>
        <v>0</v>
      </c>
      <c r="T10" s="207">
        <f>sumifs('25.06'!$H$7:$H$162,'25.06'!$I$7:$I$162,$B10,'25.06'!$J$7:$J$162,T$3)</f>
        <v>0</v>
      </c>
      <c r="U10" s="207">
        <f>sumifs('25.06'!$H$7:$H$162,'25.06'!$I$7:$I$162,$B10,'25.06'!$J$7:$J$162,U$3)</f>
        <v>0</v>
      </c>
      <c r="V10" s="207">
        <f>sumifs('25.06'!$H$7:$H$162,'25.06'!$I$7:$I$162,$B10,'25.06'!$J$7:$J$162,V$3)</f>
        <v>0</v>
      </c>
      <c r="W10" s="207">
        <f>sumifs('25.06'!$H$7:$H$162,'25.06'!$I$7:$I$162,$B10,'25.06'!$J$7:$J$162,W$3)</f>
        <v>0</v>
      </c>
      <c r="X10" s="207">
        <f>sumifs('25.06'!$H$7:$H$162,'25.06'!$I$7:$I$162,$B10,'25.06'!$J$7:$J$162,X$3)</f>
        <v>0</v>
      </c>
      <c r="Y10" s="207">
        <f>sumifs('25.06'!$H$7:$H$162,'25.06'!$I$7:$I$162,$B10,'25.06'!$J$7:$J$162,Y$3)</f>
        <v>0</v>
      </c>
      <c r="Z10" s="207">
        <f>sumifs('25.06'!$H$7:$H$162,'25.06'!$I$7:$I$162,$B10,'25.06'!$J$7:$J$162,Z$3)</f>
        <v>0</v>
      </c>
      <c r="AA10" s="208">
        <f t="shared" si="3"/>
        <v>0</v>
      </c>
    </row>
    <row r="11">
      <c r="A11" s="211">
        <v>44928.0</v>
      </c>
      <c r="B11" s="212" t="s">
        <v>64</v>
      </c>
      <c r="C11" s="213">
        <f>sumifs('25.06'!$H$7:$H$162,'25.06'!$G$7:$G$162,$B11,'25.06'!$F$7:$F$162,C$3)</f>
        <v>0</v>
      </c>
      <c r="D11" s="213">
        <f>sumifs('25.06'!$H$7:$H$162,'25.06'!$G$7:$G$162,$B11,'25.06'!$F$7:$F$162,D$3)</f>
        <v>0</v>
      </c>
      <c r="E11" s="213">
        <f>sumifs('25.06'!$H$7:$H$162,'25.06'!$G$7:$G$162,$B11,'25.06'!$F$7:$F$162,E$3)</f>
        <v>0</v>
      </c>
      <c r="F11" s="213">
        <f>sumifs('25.06'!$H$7:$H$162,'25.06'!$G$7:$G$162,$B11,'25.06'!$F$7:$F$162,F$3)</f>
        <v>0</v>
      </c>
      <c r="G11" s="213">
        <f>sumifs('25.06'!$H$7:$H$162,'25.06'!$G$7:$G$162,$B11,'25.06'!$F$7:$F$162,G$3)</f>
        <v>0</v>
      </c>
      <c r="H11" s="213">
        <f>sumifs('25.06'!$H$7:$H$162,'25.06'!$G$7:$G$162,$B11,'25.06'!$F$7:$F$162,H$3)</f>
        <v>0</v>
      </c>
      <c r="I11" s="213">
        <f>sumifs('25.06'!$H$7:$H$162,'25.06'!$G$7:$G$162,$B11,'25.06'!$F$7:$F$162,I$3)</f>
        <v>0</v>
      </c>
      <c r="J11" s="213">
        <f>sumifs('25.06'!$H$7:$H$162,'25.06'!$G$7:$G$162,$B11,'25.06'!$F$7:$F$162,J$3)</f>
        <v>0</v>
      </c>
      <c r="K11" s="213">
        <f>sumifs('25.06'!$H$7:$H$162,'25.06'!$G$7:$G$162,$B11,'25.06'!$F$7:$F$162,K$3)</f>
        <v>0</v>
      </c>
      <c r="L11" s="214">
        <f t="shared" si="1"/>
        <v>0</v>
      </c>
      <c r="M11" s="215"/>
      <c r="N11" s="215" t="str">
        <f t="shared" si="4"/>
        <v>#DIV/0!</v>
      </c>
      <c r="O11" s="215"/>
      <c r="R11" s="213">
        <f>sumifs('25.06'!$H$7:$H$162,'25.06'!$I$7:$I$162,$B11,'25.06'!$J$7:$J$162,R$3)</f>
        <v>0</v>
      </c>
      <c r="S11" s="213">
        <f>sumifs('25.06'!$H$7:$H$162,'25.06'!$I$7:$I$162,$B11,'25.06'!$J$7:$J$162,S$3)</f>
        <v>0</v>
      </c>
      <c r="T11" s="213">
        <f>sumifs('25.06'!$H$7:$H$162,'25.06'!$I$7:$I$162,$B11,'25.06'!$J$7:$J$162,T$3)</f>
        <v>0</v>
      </c>
      <c r="U11" s="213">
        <f>sumifs('25.06'!$H$7:$H$162,'25.06'!$I$7:$I$162,$B11,'25.06'!$J$7:$J$162,U$3)</f>
        <v>0</v>
      </c>
      <c r="V11" s="213">
        <f>sumifs('25.06'!$H$7:$H$162,'25.06'!$I$7:$I$162,$B11,'25.06'!$J$7:$J$162,V$3)</f>
        <v>0</v>
      </c>
      <c r="W11" s="213">
        <f>sumifs('25.06'!$H$7:$H$162,'25.06'!$I$7:$I$162,$B11,'25.06'!$J$7:$J$162,W$3)</f>
        <v>0</v>
      </c>
      <c r="X11" s="213">
        <f>sumifs('25.06'!$H$7:$H$162,'25.06'!$I$7:$I$162,$B11,'25.06'!$J$7:$J$162,X$3)</f>
        <v>0</v>
      </c>
      <c r="Y11" s="213">
        <f>sumifs('25.06'!$H$7:$H$162,'25.06'!$I$7:$I$162,$B11,'25.06'!$J$7:$J$162,Y$3)</f>
        <v>0</v>
      </c>
      <c r="Z11" s="213">
        <f>sumifs('25.06'!$H$7:$H$162,'25.06'!$I$7:$I$162,$B11,'25.06'!$J$7:$J$162,Z$3)</f>
        <v>0</v>
      </c>
      <c r="AA11" s="214">
        <f t="shared" si="3"/>
        <v>0</v>
      </c>
    </row>
    <row r="12">
      <c r="A12" s="211">
        <v>44959.0</v>
      </c>
      <c r="B12" s="212" t="s">
        <v>65</v>
      </c>
      <c r="C12" s="213">
        <f>sumifs('25.06'!$H$7:$H$162,'25.06'!$G$7:$G$162,$B12,'25.06'!$F$7:$F$162,C$3)</f>
        <v>0</v>
      </c>
      <c r="D12" s="213">
        <f>sumifs('25.06'!$H$7:$H$162,'25.06'!$G$7:$G$162,$B12,'25.06'!$F$7:$F$162,D$3)</f>
        <v>0</v>
      </c>
      <c r="E12" s="213">
        <f>sumifs('25.06'!$H$7:$H$162,'25.06'!$G$7:$G$162,$B12,'25.06'!$F$7:$F$162,E$3)</f>
        <v>0</v>
      </c>
      <c r="F12" s="213">
        <f>sumifs('25.06'!$H$7:$H$162,'25.06'!$G$7:$G$162,$B12,'25.06'!$F$7:$F$162,F$3)</f>
        <v>0</v>
      </c>
      <c r="G12" s="213">
        <f>sumifs('25.06'!$H$7:$H$162,'25.06'!$G$7:$G$162,$B12,'25.06'!$F$7:$F$162,G$3)</f>
        <v>0</v>
      </c>
      <c r="H12" s="213">
        <f>sumifs('25.06'!$H$7:$H$162,'25.06'!$G$7:$G$162,$B12,'25.06'!$F$7:$F$162,H$3)</f>
        <v>0</v>
      </c>
      <c r="I12" s="213">
        <f>sumifs('25.06'!$H$7:$H$162,'25.06'!$G$7:$G$162,$B12,'25.06'!$F$7:$F$162,I$3)</f>
        <v>0</v>
      </c>
      <c r="J12" s="213">
        <f>sumifs('25.06'!$H$7:$H$162,'25.06'!$G$7:$G$162,$B12,'25.06'!$F$7:$F$162,J$3)</f>
        <v>0</v>
      </c>
      <c r="K12" s="213">
        <f>sumifs('25.06'!$H$7:$H$162,'25.06'!$G$7:$G$162,$B12,'25.06'!$F$7:$F$162,K$3)</f>
        <v>0</v>
      </c>
      <c r="L12" s="214">
        <f t="shared" si="1"/>
        <v>0</v>
      </c>
      <c r="M12" s="215"/>
      <c r="N12" s="215" t="str">
        <f t="shared" si="4"/>
        <v>#DIV/0!</v>
      </c>
      <c r="O12" s="215"/>
      <c r="R12" s="213">
        <f>sumifs('25.06'!$H$7:$H$162,'25.06'!$I$7:$I$162,$B12,'25.06'!$J$7:$J$162,R$3)</f>
        <v>0</v>
      </c>
      <c r="S12" s="213">
        <f>sumifs('25.06'!$H$7:$H$162,'25.06'!$I$7:$I$162,$B12,'25.06'!$J$7:$J$162,S$3)</f>
        <v>0</v>
      </c>
      <c r="T12" s="213">
        <f>sumifs('25.06'!$H$7:$H$162,'25.06'!$I$7:$I$162,$B12,'25.06'!$J$7:$J$162,T$3)</f>
        <v>0</v>
      </c>
      <c r="U12" s="213">
        <f>sumifs('25.06'!$H$7:$H$162,'25.06'!$I$7:$I$162,$B12,'25.06'!$J$7:$J$162,U$3)</f>
        <v>0</v>
      </c>
      <c r="V12" s="213">
        <f>sumifs('25.06'!$H$7:$H$162,'25.06'!$I$7:$I$162,$B12,'25.06'!$J$7:$J$162,V$3)</f>
        <v>0</v>
      </c>
      <c r="W12" s="213">
        <f>sumifs('25.06'!$H$7:$H$162,'25.06'!$I$7:$I$162,$B12,'25.06'!$J$7:$J$162,W$3)</f>
        <v>0</v>
      </c>
      <c r="X12" s="213">
        <f>sumifs('25.06'!$H$7:$H$162,'25.06'!$I$7:$I$162,$B12,'25.06'!$J$7:$J$162,X$3)</f>
        <v>0</v>
      </c>
      <c r="Y12" s="213">
        <f>sumifs('25.06'!$H$7:$H$162,'25.06'!$I$7:$I$162,$B12,'25.06'!$J$7:$J$162,Y$3)</f>
        <v>0</v>
      </c>
      <c r="Z12" s="213">
        <f>sumifs('25.06'!$H$7:$H$162,'25.06'!$I$7:$I$162,$B12,'25.06'!$J$7:$J$162,Z$3)</f>
        <v>0</v>
      </c>
      <c r="AA12" s="214">
        <f t="shared" si="3"/>
        <v>0</v>
      </c>
    </row>
    <row r="13">
      <c r="A13" s="211">
        <v>44987.0</v>
      </c>
      <c r="B13" s="212" t="s">
        <v>66</v>
      </c>
      <c r="C13" s="213">
        <f>sumifs('25.06'!$H$7:$H$162,'25.06'!$G$7:$G$162,$B13,'25.06'!$F$7:$F$162,C$3)</f>
        <v>0</v>
      </c>
      <c r="D13" s="213">
        <f>sumifs('25.06'!$H$7:$H$162,'25.06'!$G$7:$G$162,$B13,'25.06'!$F$7:$F$162,D$3)</f>
        <v>0</v>
      </c>
      <c r="E13" s="213">
        <f>sumifs('25.06'!$H$7:$H$162,'25.06'!$G$7:$G$162,$B13,'25.06'!$F$7:$F$162,E$3)</f>
        <v>0</v>
      </c>
      <c r="F13" s="213">
        <f>sumifs('25.06'!$H$7:$H$162,'25.06'!$G$7:$G$162,$B13,'25.06'!$F$7:$F$162,F$3)</f>
        <v>0</v>
      </c>
      <c r="G13" s="213">
        <f>sumifs('25.06'!$H$7:$H$162,'25.06'!$G$7:$G$162,$B13,'25.06'!$F$7:$F$162,G$3)</f>
        <v>0</v>
      </c>
      <c r="H13" s="213">
        <f>sumifs('25.06'!$H$7:$H$162,'25.06'!$G$7:$G$162,$B13,'25.06'!$F$7:$F$162,H$3)</f>
        <v>0</v>
      </c>
      <c r="I13" s="213">
        <f>sumifs('25.06'!$H$7:$H$162,'25.06'!$G$7:$G$162,$B13,'25.06'!$F$7:$F$162,I$3)</f>
        <v>0</v>
      </c>
      <c r="J13" s="213">
        <f>sumifs('25.06'!$H$7:$H$162,'25.06'!$G$7:$G$162,$B13,'25.06'!$F$7:$F$162,J$3)</f>
        <v>0</v>
      </c>
      <c r="K13" s="213">
        <f>sumifs('25.06'!$H$7:$H$162,'25.06'!$G$7:$G$162,$B13,'25.06'!$F$7:$F$162,K$3)</f>
        <v>0</v>
      </c>
      <c r="L13" s="214">
        <f t="shared" si="1"/>
        <v>0</v>
      </c>
      <c r="M13" s="215"/>
      <c r="N13" s="215" t="str">
        <f t="shared" si="4"/>
        <v>#DIV/0!</v>
      </c>
      <c r="O13" s="215"/>
      <c r="R13" s="213">
        <f>sumifs('25.06'!$H$7:$H$162,'25.06'!$I$7:$I$162,$B13,'25.06'!$J$7:$J$162,R$3)</f>
        <v>0</v>
      </c>
      <c r="S13" s="213">
        <f>sumifs('25.06'!$H$7:$H$162,'25.06'!$I$7:$I$162,$B13,'25.06'!$J$7:$J$162,S$3)</f>
        <v>0</v>
      </c>
      <c r="T13" s="213">
        <f>sumifs('25.06'!$H$7:$H$162,'25.06'!$I$7:$I$162,$B13,'25.06'!$J$7:$J$162,T$3)</f>
        <v>0</v>
      </c>
      <c r="U13" s="213">
        <f>sumifs('25.06'!$H$7:$H$162,'25.06'!$I$7:$I$162,$B13,'25.06'!$J$7:$J$162,U$3)</f>
        <v>0</v>
      </c>
      <c r="V13" s="213">
        <f>sumifs('25.06'!$H$7:$H$162,'25.06'!$I$7:$I$162,$B13,'25.06'!$J$7:$J$162,V$3)</f>
        <v>0</v>
      </c>
      <c r="W13" s="213">
        <f>sumifs('25.06'!$H$7:$H$162,'25.06'!$I$7:$I$162,$B13,'25.06'!$J$7:$J$162,W$3)</f>
        <v>0</v>
      </c>
      <c r="X13" s="213">
        <f>sumifs('25.06'!$H$7:$H$162,'25.06'!$I$7:$I$162,$B13,'25.06'!$J$7:$J$162,X$3)</f>
        <v>0</v>
      </c>
      <c r="Y13" s="213">
        <f>sumifs('25.06'!$H$7:$H$162,'25.06'!$I$7:$I$162,$B13,'25.06'!$J$7:$J$162,Y$3)</f>
        <v>0</v>
      </c>
      <c r="Z13" s="213">
        <f>sumifs('25.06'!$H$7:$H$162,'25.06'!$I$7:$I$162,$B13,'25.06'!$J$7:$J$162,Z$3)</f>
        <v>0</v>
      </c>
      <c r="AA13" s="214">
        <f t="shared" si="3"/>
        <v>0</v>
      </c>
    </row>
    <row r="14">
      <c r="A14" s="211">
        <v>45018.0</v>
      </c>
      <c r="B14" s="212" t="s">
        <v>67</v>
      </c>
      <c r="C14" s="213">
        <f>sumifs('25.06'!$H$7:$H$162,'25.06'!$G$7:$G$162,$B14,'25.06'!$F$7:$F$162,C$3)</f>
        <v>0</v>
      </c>
      <c r="D14" s="213">
        <f>sumifs('25.06'!$H$7:$H$162,'25.06'!$G$7:$G$162,$B14,'25.06'!$F$7:$F$162,D$3)</f>
        <v>0</v>
      </c>
      <c r="E14" s="213">
        <f>sumifs('25.06'!$H$7:$H$162,'25.06'!$G$7:$G$162,$B14,'25.06'!$F$7:$F$162,E$3)</f>
        <v>0</v>
      </c>
      <c r="F14" s="213">
        <f>sumifs('25.06'!$H$7:$H$162,'25.06'!$G$7:$G$162,$B14,'25.06'!$F$7:$F$162,F$3)</f>
        <v>0</v>
      </c>
      <c r="G14" s="213">
        <f>sumifs('25.06'!$H$7:$H$162,'25.06'!$G$7:$G$162,$B14,'25.06'!$F$7:$F$162,G$3)</f>
        <v>0</v>
      </c>
      <c r="H14" s="213">
        <f>sumifs('25.06'!$H$7:$H$162,'25.06'!$G$7:$G$162,$B14,'25.06'!$F$7:$F$162,H$3)</f>
        <v>0</v>
      </c>
      <c r="I14" s="213">
        <f>sumifs('25.06'!$H$7:$H$162,'25.06'!$G$7:$G$162,$B14,'25.06'!$F$7:$F$162,I$3)</f>
        <v>0</v>
      </c>
      <c r="J14" s="213">
        <f>sumifs('25.06'!$H$7:$H$162,'25.06'!$G$7:$G$162,$B14,'25.06'!$F$7:$F$162,J$3)</f>
        <v>0</v>
      </c>
      <c r="K14" s="213">
        <f>sumifs('25.06'!$H$7:$H$162,'25.06'!$G$7:$G$162,$B14,'25.06'!$F$7:$F$162,K$3)</f>
        <v>0</v>
      </c>
      <c r="L14" s="214">
        <f t="shared" si="1"/>
        <v>0</v>
      </c>
      <c r="M14" s="215"/>
      <c r="N14" s="215" t="str">
        <f t="shared" si="4"/>
        <v>#DIV/0!</v>
      </c>
      <c r="O14" s="215"/>
      <c r="R14" s="213">
        <f>sumifs('25.06'!$H$7:$H$162,'25.06'!$I$7:$I$162,$B14,'25.06'!$J$7:$J$162,R$3)</f>
        <v>0</v>
      </c>
      <c r="S14" s="213">
        <f>sumifs('25.06'!$H$7:$H$162,'25.06'!$I$7:$I$162,$B14,'25.06'!$J$7:$J$162,S$3)</f>
        <v>0</v>
      </c>
      <c r="T14" s="213">
        <f>sumifs('25.06'!$H$7:$H$162,'25.06'!$I$7:$I$162,$B14,'25.06'!$J$7:$J$162,T$3)</f>
        <v>0</v>
      </c>
      <c r="U14" s="213">
        <f>sumifs('25.06'!$H$7:$H$162,'25.06'!$I$7:$I$162,$B14,'25.06'!$J$7:$J$162,U$3)</f>
        <v>0</v>
      </c>
      <c r="V14" s="213">
        <f>sumifs('25.06'!$H$7:$H$162,'25.06'!$I$7:$I$162,$B14,'25.06'!$J$7:$J$162,V$3)</f>
        <v>0</v>
      </c>
      <c r="W14" s="213">
        <f>sumifs('25.06'!$H$7:$H$162,'25.06'!$I$7:$I$162,$B14,'25.06'!$J$7:$J$162,W$3)</f>
        <v>0</v>
      </c>
      <c r="X14" s="213">
        <f>sumifs('25.06'!$H$7:$H$162,'25.06'!$I$7:$I$162,$B14,'25.06'!$J$7:$J$162,X$3)</f>
        <v>0</v>
      </c>
      <c r="Y14" s="213">
        <f>sumifs('25.06'!$H$7:$H$162,'25.06'!$I$7:$I$162,$B14,'25.06'!$J$7:$J$162,Y$3)</f>
        <v>0</v>
      </c>
      <c r="Z14" s="213">
        <f>sumifs('25.06'!$H$7:$H$162,'25.06'!$I$7:$I$162,$B14,'25.06'!$J$7:$J$162,Z$3)</f>
        <v>0</v>
      </c>
      <c r="AA14" s="214">
        <f t="shared" si="3"/>
        <v>0</v>
      </c>
    </row>
    <row r="15">
      <c r="A15" s="211">
        <v>45048.0</v>
      </c>
      <c r="B15" s="212" t="s">
        <v>68</v>
      </c>
      <c r="C15" s="213">
        <f>sumifs('25.06'!$H$7:$H$162,'25.06'!$G$7:$G$162,$B15,'25.06'!$F$7:$F$162,C$3)</f>
        <v>0</v>
      </c>
      <c r="D15" s="213">
        <f>sumifs('25.06'!$H$7:$H$162,'25.06'!$G$7:$G$162,$B15,'25.06'!$F$7:$F$162,D$3)</f>
        <v>0</v>
      </c>
      <c r="E15" s="213">
        <f>sumifs('25.06'!$H$7:$H$162,'25.06'!$G$7:$G$162,$B15,'25.06'!$F$7:$F$162,E$3)</f>
        <v>0</v>
      </c>
      <c r="F15" s="213">
        <f>sumifs('25.06'!$H$7:$H$162,'25.06'!$G$7:$G$162,$B15,'25.06'!$F$7:$F$162,F$3)</f>
        <v>0</v>
      </c>
      <c r="G15" s="213">
        <f>sumifs('25.06'!$H$7:$H$162,'25.06'!$G$7:$G$162,$B15,'25.06'!$F$7:$F$162,G$3)</f>
        <v>0</v>
      </c>
      <c r="H15" s="213">
        <f>sumifs('25.06'!$H$7:$H$162,'25.06'!$G$7:$G$162,$B15,'25.06'!$F$7:$F$162,H$3)</f>
        <v>0</v>
      </c>
      <c r="I15" s="213">
        <f>sumifs('25.06'!$H$7:$H$162,'25.06'!$G$7:$G$162,$B15,'25.06'!$F$7:$F$162,I$3)</f>
        <v>0</v>
      </c>
      <c r="J15" s="213">
        <f>sumifs('25.06'!$H$7:$H$162,'25.06'!$G$7:$G$162,$B15,'25.06'!$F$7:$F$162,J$3)</f>
        <v>0</v>
      </c>
      <c r="K15" s="213">
        <f>sumifs('25.06'!$H$7:$H$162,'25.06'!$G$7:$G$162,$B15,'25.06'!$F$7:$F$162,K$3)</f>
        <v>0</v>
      </c>
      <c r="L15" s="214">
        <f t="shared" si="1"/>
        <v>0</v>
      </c>
      <c r="M15" s="215"/>
      <c r="N15" s="215" t="str">
        <f t="shared" si="4"/>
        <v>#DIV/0!</v>
      </c>
      <c r="O15" s="215"/>
      <c r="R15" s="213">
        <f>sumifs('25.06'!$H$7:$H$162,'25.06'!$I$7:$I$162,$B15,'25.06'!$J$7:$J$162,R$3)</f>
        <v>0</v>
      </c>
      <c r="S15" s="213">
        <f>sumifs('25.06'!$H$7:$H$162,'25.06'!$I$7:$I$162,$B15,'25.06'!$J$7:$J$162,S$3)</f>
        <v>0</v>
      </c>
      <c r="T15" s="213">
        <f>sumifs('25.06'!$H$7:$H$162,'25.06'!$I$7:$I$162,$B15,'25.06'!$J$7:$J$162,T$3)</f>
        <v>0</v>
      </c>
      <c r="U15" s="213">
        <f>sumifs('25.06'!$H$7:$H$162,'25.06'!$I$7:$I$162,$B15,'25.06'!$J$7:$J$162,U$3)</f>
        <v>0</v>
      </c>
      <c r="V15" s="213">
        <f>sumifs('25.06'!$H$7:$H$162,'25.06'!$I$7:$I$162,$B15,'25.06'!$J$7:$J$162,V$3)</f>
        <v>0</v>
      </c>
      <c r="W15" s="213">
        <f>sumifs('25.06'!$H$7:$H$162,'25.06'!$I$7:$I$162,$B15,'25.06'!$J$7:$J$162,W$3)</f>
        <v>0</v>
      </c>
      <c r="X15" s="213">
        <f>sumifs('25.06'!$H$7:$H$162,'25.06'!$I$7:$I$162,$B15,'25.06'!$J$7:$J$162,X$3)</f>
        <v>0</v>
      </c>
      <c r="Y15" s="213">
        <f>sumifs('25.06'!$H$7:$H$162,'25.06'!$I$7:$I$162,$B15,'25.06'!$J$7:$J$162,Y$3)</f>
        <v>0</v>
      </c>
      <c r="Z15" s="213">
        <f>sumifs('25.06'!$H$7:$H$162,'25.06'!$I$7:$I$162,$B15,'25.06'!$J$7:$J$162,Z$3)</f>
        <v>0</v>
      </c>
      <c r="AA15" s="214">
        <f t="shared" si="3"/>
        <v>0</v>
      </c>
    </row>
    <row r="16">
      <c r="A16" s="216">
        <v>45079.0</v>
      </c>
      <c r="B16" s="217" t="s">
        <v>69</v>
      </c>
      <c r="C16" s="218">
        <f>sumifs('25.06'!$H$7:$H$162,'25.06'!$G$7:$G$162,$B16,'25.06'!$F$7:$F$162,C$3)</f>
        <v>0</v>
      </c>
      <c r="D16" s="218">
        <f>sumifs('25.06'!$H$7:$H$162,'25.06'!$G$7:$G$162,$B16,'25.06'!$F$7:$F$162,D$3)</f>
        <v>0</v>
      </c>
      <c r="E16" s="218">
        <f>sumifs('25.06'!$H$7:$H$162,'25.06'!$G$7:$G$162,$B16,'25.06'!$F$7:$F$162,E$3)</f>
        <v>0</v>
      </c>
      <c r="F16" s="218">
        <f>sumifs('25.06'!$H$7:$H$162,'25.06'!$G$7:$G$162,$B16,'25.06'!$F$7:$F$162,F$3)</f>
        <v>0</v>
      </c>
      <c r="G16" s="218">
        <f>sumifs('25.06'!$H$7:$H$162,'25.06'!$G$7:$G$162,$B16,'25.06'!$F$7:$F$162,G$3)</f>
        <v>0</v>
      </c>
      <c r="H16" s="218">
        <f>sumifs('25.06'!$H$7:$H$162,'25.06'!$G$7:$G$162,$B16,'25.06'!$F$7:$F$162,H$3)</f>
        <v>0</v>
      </c>
      <c r="I16" s="218">
        <f>sumifs('25.06'!$H$7:$H$162,'25.06'!$G$7:$G$162,$B16,'25.06'!$F$7:$F$162,I$3)</f>
        <v>0</v>
      </c>
      <c r="J16" s="218">
        <f>sumifs('25.06'!$H$7:$H$162,'25.06'!$G$7:$G$162,$B16,'25.06'!$F$7:$F$162,J$3)</f>
        <v>0</v>
      </c>
      <c r="K16" s="218">
        <f>sumifs('25.06'!$H$7:$H$162,'25.06'!$G$7:$G$162,$B16,'25.06'!$F$7:$F$162,K$3)</f>
        <v>0</v>
      </c>
      <c r="L16" s="214">
        <f t="shared" si="1"/>
        <v>0</v>
      </c>
      <c r="M16" s="215"/>
      <c r="N16" s="215" t="str">
        <f t="shared" si="4"/>
        <v>#DIV/0!</v>
      </c>
      <c r="O16" s="215"/>
      <c r="R16" s="218">
        <f>sumifs('25.06'!$H$7:$H$162,'25.06'!$I$7:$I$162,$B16,'25.06'!$J$7:$J$162,R$3)</f>
        <v>0</v>
      </c>
      <c r="S16" s="218">
        <f>sumifs('25.06'!$H$7:$H$162,'25.06'!$I$7:$I$162,$B16,'25.06'!$J$7:$J$162,S$3)</f>
        <v>0</v>
      </c>
      <c r="T16" s="218">
        <f>sumifs('25.06'!$H$7:$H$162,'25.06'!$I$7:$I$162,$B16,'25.06'!$J$7:$J$162,T$3)</f>
        <v>0</v>
      </c>
      <c r="U16" s="218">
        <f>sumifs('25.06'!$H$7:$H$162,'25.06'!$I$7:$I$162,$B16,'25.06'!$J$7:$J$162,U$3)</f>
        <v>0</v>
      </c>
      <c r="V16" s="218">
        <f>sumifs('25.06'!$H$7:$H$162,'25.06'!$I$7:$I$162,$B16,'25.06'!$J$7:$J$162,V$3)</f>
        <v>0</v>
      </c>
      <c r="W16" s="218">
        <f>sumifs('25.06'!$H$7:$H$162,'25.06'!$I$7:$I$162,$B16,'25.06'!$J$7:$J$162,W$3)</f>
        <v>0</v>
      </c>
      <c r="X16" s="218">
        <f>sumifs('25.06'!$H$7:$H$162,'25.06'!$I$7:$I$162,$B16,'25.06'!$J$7:$J$162,X$3)</f>
        <v>0</v>
      </c>
      <c r="Y16" s="218">
        <f>sumifs('25.06'!$H$7:$H$162,'25.06'!$I$7:$I$162,$B16,'25.06'!$J$7:$J$162,Y$3)</f>
        <v>0</v>
      </c>
      <c r="Z16" s="218">
        <f>sumifs('25.06'!$H$7:$H$162,'25.06'!$I$7:$I$162,$B16,'25.06'!$J$7:$J$162,Z$3)</f>
        <v>0</v>
      </c>
      <c r="AA16" s="214">
        <f t="shared" si="3"/>
        <v>0</v>
      </c>
    </row>
    <row r="17">
      <c r="A17" s="205">
        <v>3.0</v>
      </c>
      <c r="B17" s="206" t="s">
        <v>70</v>
      </c>
      <c r="C17" s="207">
        <f>sumifs('25.06'!$H$7:$H$162,'25.06'!$G$7:$G$162,$B17,'25.06'!$F$7:$F$162,C$3)</f>
        <v>0</v>
      </c>
      <c r="D17" s="207">
        <f>sumifs('25.06'!$H$7:$H$162,'25.06'!$G$7:$G$162,$B17,'25.06'!$F$7:$F$162,D$3)</f>
        <v>0</v>
      </c>
      <c r="E17" s="207">
        <f>sumifs('25.06'!$H$7:$H$162,'25.06'!$G$7:$G$162,$B17,'25.06'!$F$7:$F$162,E$3)</f>
        <v>0</v>
      </c>
      <c r="F17" s="207">
        <f>sumifs('25.06'!$H$7:$H$162,'25.06'!$G$7:$G$162,$B17,'25.06'!$F$7:$F$162,F$3)</f>
        <v>0</v>
      </c>
      <c r="G17" s="207">
        <f>sumifs('25.06'!$H$7:$H$162,'25.06'!$G$7:$G$162,$B17,'25.06'!$F$7:$F$162,G$3)</f>
        <v>0</v>
      </c>
      <c r="H17" s="207">
        <f>sumifs('25.06'!$H$7:$H$162,'25.06'!$G$7:$G$162,$B17,'25.06'!$F$7:$F$162,H$3)</f>
        <v>0</v>
      </c>
      <c r="I17" s="207">
        <f>sumifs('25.06'!$H$7:$H$162,'25.06'!$G$7:$G$162,$B17,'25.06'!$F$7:$F$162,I$3)</f>
        <v>0</v>
      </c>
      <c r="J17" s="207">
        <f>sumifs('25.06'!$H$7:$H$162,'25.06'!$G$7:$G$162,$B17,'25.06'!$F$7:$F$162,J$3)</f>
        <v>0</v>
      </c>
      <c r="K17" s="207">
        <f>sumifs('25.06'!$H$7:$H$162,'25.06'!$G$7:$G$162,$B17,'25.06'!$F$7:$F$162,K$3)</f>
        <v>0</v>
      </c>
      <c r="L17" s="208">
        <f t="shared" si="1"/>
        <v>0</v>
      </c>
      <c r="M17" s="209"/>
      <c r="N17" s="209" t="str">
        <f t="shared" ref="N17:N22" si="5">L17/sum(L$17:L$22)</f>
        <v>#DIV/0!</v>
      </c>
      <c r="O17" s="209"/>
      <c r="P17" s="210">
        <f>sum(L17:L22)</f>
        <v>0</v>
      </c>
      <c r="Q17" s="209" t="str">
        <f>P17/sum($P$4:$P$57)</f>
        <v>#DIV/0!</v>
      </c>
      <c r="R17" s="207">
        <f>sumifs('25.06'!$H$7:$H$162,'25.06'!$I$7:$I$162,$B17,'25.06'!$J$7:$J$162,R$3)</f>
        <v>0</v>
      </c>
      <c r="S17" s="207">
        <f>sumifs('25.06'!$H$7:$H$162,'25.06'!$I$7:$I$162,$B17,'25.06'!$J$7:$J$162,S$3)</f>
        <v>0</v>
      </c>
      <c r="T17" s="207">
        <f>sumifs('25.06'!$H$7:$H$162,'25.06'!$I$7:$I$162,$B17,'25.06'!$J$7:$J$162,T$3)</f>
        <v>0</v>
      </c>
      <c r="U17" s="207">
        <f>sumifs('25.06'!$H$7:$H$162,'25.06'!$I$7:$I$162,$B17,'25.06'!$J$7:$J$162,U$3)</f>
        <v>0</v>
      </c>
      <c r="V17" s="207">
        <f>sumifs('25.06'!$H$7:$H$162,'25.06'!$I$7:$I$162,$B17,'25.06'!$J$7:$J$162,V$3)</f>
        <v>0</v>
      </c>
      <c r="W17" s="207">
        <f>sumifs('25.06'!$H$7:$H$162,'25.06'!$I$7:$I$162,$B17,'25.06'!$J$7:$J$162,W$3)</f>
        <v>0</v>
      </c>
      <c r="X17" s="207">
        <f>sumifs('25.06'!$H$7:$H$162,'25.06'!$I$7:$I$162,$B17,'25.06'!$J$7:$J$162,X$3)</f>
        <v>0</v>
      </c>
      <c r="Y17" s="207">
        <f>sumifs('25.06'!$H$7:$H$162,'25.06'!$I$7:$I$162,$B17,'25.06'!$J$7:$J$162,Y$3)</f>
        <v>0</v>
      </c>
      <c r="Z17" s="207">
        <f>sumifs('25.06'!$H$7:$H$162,'25.06'!$I$7:$I$162,$B17,'25.06'!$J$7:$J$162,Z$3)</f>
        <v>0</v>
      </c>
      <c r="AA17" s="208">
        <f t="shared" si="3"/>
        <v>0</v>
      </c>
    </row>
    <row r="18">
      <c r="A18" s="211">
        <v>44929.0</v>
      </c>
      <c r="B18" s="212" t="s">
        <v>71</v>
      </c>
      <c r="C18" s="213">
        <f>sumifs('25.06'!$H$7:$H$162,'25.06'!$G$7:$G$162,$B18,'25.06'!$F$7:$F$162,C$3)</f>
        <v>0</v>
      </c>
      <c r="D18" s="213">
        <f>sumifs('25.06'!$H$7:$H$162,'25.06'!$G$7:$G$162,$B18,'25.06'!$F$7:$F$162,D$3)</f>
        <v>0</v>
      </c>
      <c r="E18" s="213">
        <f>sumifs('25.06'!$H$7:$H$162,'25.06'!$G$7:$G$162,$B18,'25.06'!$F$7:$F$162,E$3)</f>
        <v>0</v>
      </c>
      <c r="F18" s="213">
        <f>sumifs('25.06'!$H$7:$H$162,'25.06'!$G$7:$G$162,$B18,'25.06'!$F$7:$F$162,F$3)</f>
        <v>0</v>
      </c>
      <c r="G18" s="213">
        <f>sumifs('25.06'!$H$7:$H$162,'25.06'!$G$7:$G$162,$B18,'25.06'!$F$7:$F$162,G$3)</f>
        <v>0</v>
      </c>
      <c r="H18" s="213">
        <f>sumifs('25.06'!$H$7:$H$162,'25.06'!$G$7:$G$162,$B18,'25.06'!$F$7:$F$162,H$3)</f>
        <v>0</v>
      </c>
      <c r="I18" s="213">
        <f>sumifs('25.06'!$H$7:$H$162,'25.06'!$G$7:$G$162,$B18,'25.06'!$F$7:$F$162,I$3)</f>
        <v>0</v>
      </c>
      <c r="J18" s="213">
        <f>sumifs('25.06'!$H$7:$H$162,'25.06'!$G$7:$G$162,$B18,'25.06'!$F$7:$F$162,J$3)</f>
        <v>0</v>
      </c>
      <c r="K18" s="213">
        <f>sumifs('25.06'!$H$7:$H$162,'25.06'!$G$7:$G$162,$B18,'25.06'!$F$7:$F$162,K$3)</f>
        <v>0</v>
      </c>
      <c r="L18" s="214">
        <f t="shared" si="1"/>
        <v>0</v>
      </c>
      <c r="M18" s="215"/>
      <c r="N18" s="215" t="str">
        <f t="shared" si="5"/>
        <v>#DIV/0!</v>
      </c>
      <c r="O18" s="215"/>
      <c r="R18" s="213">
        <f>sumifs('25.06'!$H$7:$H$162,'25.06'!$I$7:$I$162,$B18,'25.06'!$J$7:$J$162,R$3)</f>
        <v>0</v>
      </c>
      <c r="S18" s="213">
        <f>sumifs('25.06'!$H$7:$H$162,'25.06'!$I$7:$I$162,$B18,'25.06'!$J$7:$J$162,S$3)</f>
        <v>0</v>
      </c>
      <c r="T18" s="213">
        <f>sumifs('25.06'!$H$7:$H$162,'25.06'!$I$7:$I$162,$B18,'25.06'!$J$7:$J$162,T$3)</f>
        <v>0</v>
      </c>
      <c r="U18" s="213">
        <f>sumifs('25.06'!$H$7:$H$162,'25.06'!$I$7:$I$162,$B18,'25.06'!$J$7:$J$162,U$3)</f>
        <v>0</v>
      </c>
      <c r="V18" s="213">
        <f>sumifs('25.06'!$H$7:$H$162,'25.06'!$I$7:$I$162,$B18,'25.06'!$J$7:$J$162,V$3)</f>
        <v>0</v>
      </c>
      <c r="W18" s="213">
        <f>sumifs('25.06'!$H$7:$H$162,'25.06'!$I$7:$I$162,$B18,'25.06'!$J$7:$J$162,W$3)</f>
        <v>0</v>
      </c>
      <c r="X18" s="213">
        <f>sumifs('25.06'!$H$7:$H$162,'25.06'!$I$7:$I$162,$B18,'25.06'!$J$7:$J$162,X$3)</f>
        <v>0</v>
      </c>
      <c r="Y18" s="213">
        <f>sumifs('25.06'!$H$7:$H$162,'25.06'!$I$7:$I$162,$B18,'25.06'!$J$7:$J$162,Y$3)</f>
        <v>0</v>
      </c>
      <c r="Z18" s="213">
        <f>sumifs('25.06'!$H$7:$H$162,'25.06'!$I$7:$I$162,$B18,'25.06'!$J$7:$J$162,Z$3)</f>
        <v>0</v>
      </c>
      <c r="AA18" s="214">
        <f t="shared" si="3"/>
        <v>0</v>
      </c>
    </row>
    <row r="19">
      <c r="A19" s="211">
        <v>44960.0</v>
      </c>
      <c r="B19" s="212" t="s">
        <v>72</v>
      </c>
      <c r="C19" s="213">
        <f>sumifs('25.06'!$H$7:$H$162,'25.06'!$G$7:$G$162,$B19,'25.06'!$F$7:$F$162,C$3)</f>
        <v>0</v>
      </c>
      <c r="D19" s="213">
        <f>sumifs('25.06'!$H$7:$H$162,'25.06'!$G$7:$G$162,$B19,'25.06'!$F$7:$F$162,D$3)</f>
        <v>0</v>
      </c>
      <c r="E19" s="213">
        <f>sumifs('25.06'!$H$7:$H$162,'25.06'!$G$7:$G$162,$B19,'25.06'!$F$7:$F$162,E$3)</f>
        <v>0</v>
      </c>
      <c r="F19" s="213">
        <f>sumifs('25.06'!$H$7:$H$162,'25.06'!$G$7:$G$162,$B19,'25.06'!$F$7:$F$162,F$3)</f>
        <v>0</v>
      </c>
      <c r="G19" s="213">
        <f>sumifs('25.06'!$H$7:$H$162,'25.06'!$G$7:$G$162,$B19,'25.06'!$F$7:$F$162,G$3)</f>
        <v>0</v>
      </c>
      <c r="H19" s="213">
        <f>sumifs('25.06'!$H$7:$H$162,'25.06'!$G$7:$G$162,$B19,'25.06'!$F$7:$F$162,H$3)</f>
        <v>0</v>
      </c>
      <c r="I19" s="213">
        <f>sumifs('25.06'!$H$7:$H$162,'25.06'!$G$7:$G$162,$B19,'25.06'!$F$7:$F$162,I$3)</f>
        <v>0</v>
      </c>
      <c r="J19" s="213">
        <f>sumifs('25.06'!$H$7:$H$162,'25.06'!$G$7:$G$162,$B19,'25.06'!$F$7:$F$162,J$3)</f>
        <v>0</v>
      </c>
      <c r="K19" s="213">
        <f>sumifs('25.06'!$H$7:$H$162,'25.06'!$G$7:$G$162,$B19,'25.06'!$F$7:$F$162,K$3)</f>
        <v>0</v>
      </c>
      <c r="L19" s="214">
        <f t="shared" si="1"/>
        <v>0</v>
      </c>
      <c r="M19" s="215"/>
      <c r="N19" s="215" t="str">
        <f t="shared" si="5"/>
        <v>#DIV/0!</v>
      </c>
      <c r="O19" s="215"/>
      <c r="R19" s="213">
        <f>sumifs('25.06'!$H$7:$H$162,'25.06'!$I$7:$I$162,$B19,'25.06'!$J$7:$J$162,R$3)</f>
        <v>0</v>
      </c>
      <c r="S19" s="213">
        <f>sumifs('25.06'!$H$7:$H$162,'25.06'!$I$7:$I$162,$B19,'25.06'!$J$7:$J$162,S$3)</f>
        <v>0</v>
      </c>
      <c r="T19" s="213">
        <f>sumifs('25.06'!$H$7:$H$162,'25.06'!$I$7:$I$162,$B19,'25.06'!$J$7:$J$162,T$3)</f>
        <v>0</v>
      </c>
      <c r="U19" s="213">
        <f>sumifs('25.06'!$H$7:$H$162,'25.06'!$I$7:$I$162,$B19,'25.06'!$J$7:$J$162,U$3)</f>
        <v>0</v>
      </c>
      <c r="V19" s="213">
        <f>sumifs('25.06'!$H$7:$H$162,'25.06'!$I$7:$I$162,$B19,'25.06'!$J$7:$J$162,V$3)</f>
        <v>0</v>
      </c>
      <c r="W19" s="213">
        <f>sumifs('25.06'!$H$7:$H$162,'25.06'!$I$7:$I$162,$B19,'25.06'!$J$7:$J$162,W$3)</f>
        <v>0</v>
      </c>
      <c r="X19" s="213">
        <f>sumifs('25.06'!$H$7:$H$162,'25.06'!$I$7:$I$162,$B19,'25.06'!$J$7:$J$162,X$3)</f>
        <v>0</v>
      </c>
      <c r="Y19" s="213">
        <f>sumifs('25.06'!$H$7:$H$162,'25.06'!$I$7:$I$162,$B19,'25.06'!$J$7:$J$162,Y$3)</f>
        <v>0</v>
      </c>
      <c r="Z19" s="213">
        <f>sumifs('25.06'!$H$7:$H$162,'25.06'!$I$7:$I$162,$B19,'25.06'!$J$7:$J$162,Z$3)</f>
        <v>0</v>
      </c>
      <c r="AA19" s="214">
        <f t="shared" si="3"/>
        <v>0</v>
      </c>
    </row>
    <row r="20">
      <c r="A20" s="211">
        <v>44988.0</v>
      </c>
      <c r="B20" s="212" t="s">
        <v>73</v>
      </c>
      <c r="C20" s="213">
        <f>sumifs('25.06'!$H$7:$H$162,'25.06'!$G$7:$G$162,$B20,'25.06'!$F$7:$F$162,C$3)</f>
        <v>0</v>
      </c>
      <c r="D20" s="213">
        <f>sumifs('25.06'!$H$7:$H$162,'25.06'!$G$7:$G$162,$B20,'25.06'!$F$7:$F$162,D$3)</f>
        <v>0</v>
      </c>
      <c r="E20" s="213">
        <f>sumifs('25.06'!$H$7:$H$162,'25.06'!$G$7:$G$162,$B20,'25.06'!$F$7:$F$162,E$3)</f>
        <v>0</v>
      </c>
      <c r="F20" s="213">
        <f>sumifs('25.06'!$H$7:$H$162,'25.06'!$G$7:$G$162,$B20,'25.06'!$F$7:$F$162,F$3)</f>
        <v>0</v>
      </c>
      <c r="G20" s="213">
        <f>sumifs('25.06'!$H$7:$H$162,'25.06'!$G$7:$G$162,$B20,'25.06'!$F$7:$F$162,G$3)</f>
        <v>0</v>
      </c>
      <c r="H20" s="213">
        <f>sumifs('25.06'!$H$7:$H$162,'25.06'!$G$7:$G$162,$B20,'25.06'!$F$7:$F$162,H$3)</f>
        <v>0</v>
      </c>
      <c r="I20" s="213">
        <f>sumifs('25.06'!$H$7:$H$162,'25.06'!$G$7:$G$162,$B20,'25.06'!$F$7:$F$162,I$3)</f>
        <v>0</v>
      </c>
      <c r="J20" s="213">
        <f>sumifs('25.06'!$H$7:$H$162,'25.06'!$G$7:$G$162,$B20,'25.06'!$F$7:$F$162,J$3)</f>
        <v>0</v>
      </c>
      <c r="K20" s="213">
        <f>sumifs('25.06'!$H$7:$H$162,'25.06'!$G$7:$G$162,$B20,'25.06'!$F$7:$F$162,K$3)</f>
        <v>0</v>
      </c>
      <c r="L20" s="214">
        <f t="shared" si="1"/>
        <v>0</v>
      </c>
      <c r="M20" s="215"/>
      <c r="N20" s="215" t="str">
        <f t="shared" si="5"/>
        <v>#DIV/0!</v>
      </c>
      <c r="O20" s="215"/>
      <c r="R20" s="213">
        <f>sumifs('25.06'!$H$7:$H$162,'25.06'!$I$7:$I$162,$B20,'25.06'!$J$7:$J$162,R$3)</f>
        <v>0</v>
      </c>
      <c r="S20" s="213">
        <f>sumifs('25.06'!$H$7:$H$162,'25.06'!$I$7:$I$162,$B20,'25.06'!$J$7:$J$162,S$3)</f>
        <v>0</v>
      </c>
      <c r="T20" s="213">
        <f>sumifs('25.06'!$H$7:$H$162,'25.06'!$I$7:$I$162,$B20,'25.06'!$J$7:$J$162,T$3)</f>
        <v>0</v>
      </c>
      <c r="U20" s="213">
        <f>sumifs('25.06'!$H$7:$H$162,'25.06'!$I$7:$I$162,$B20,'25.06'!$J$7:$J$162,U$3)</f>
        <v>0</v>
      </c>
      <c r="V20" s="213">
        <f>sumifs('25.06'!$H$7:$H$162,'25.06'!$I$7:$I$162,$B20,'25.06'!$J$7:$J$162,V$3)</f>
        <v>0</v>
      </c>
      <c r="W20" s="213">
        <f>sumifs('25.06'!$H$7:$H$162,'25.06'!$I$7:$I$162,$B20,'25.06'!$J$7:$J$162,W$3)</f>
        <v>0</v>
      </c>
      <c r="X20" s="213">
        <f>sumifs('25.06'!$H$7:$H$162,'25.06'!$I$7:$I$162,$B20,'25.06'!$J$7:$J$162,X$3)</f>
        <v>0</v>
      </c>
      <c r="Y20" s="213">
        <f>sumifs('25.06'!$H$7:$H$162,'25.06'!$I$7:$I$162,$B20,'25.06'!$J$7:$J$162,Y$3)</f>
        <v>0</v>
      </c>
      <c r="Z20" s="213">
        <f>sumifs('25.06'!$H$7:$H$162,'25.06'!$I$7:$I$162,$B20,'25.06'!$J$7:$J$162,Z$3)</f>
        <v>0</v>
      </c>
      <c r="AA20" s="214">
        <f t="shared" si="3"/>
        <v>0</v>
      </c>
    </row>
    <row r="21">
      <c r="A21" s="211">
        <v>45019.0</v>
      </c>
      <c r="B21" s="212" t="s">
        <v>74</v>
      </c>
      <c r="C21" s="213">
        <f>sumifs('25.06'!$H$7:$H$162,'25.06'!$G$7:$G$162,$B21,'25.06'!$F$7:$F$162,C$3)</f>
        <v>0</v>
      </c>
      <c r="D21" s="213">
        <f>sumifs('25.06'!$H$7:$H$162,'25.06'!$G$7:$G$162,$B21,'25.06'!$F$7:$F$162,D$3)</f>
        <v>0</v>
      </c>
      <c r="E21" s="213">
        <f>sumifs('25.06'!$H$7:$H$162,'25.06'!$G$7:$G$162,$B21,'25.06'!$F$7:$F$162,E$3)</f>
        <v>0</v>
      </c>
      <c r="F21" s="213">
        <f>sumifs('25.06'!$H$7:$H$162,'25.06'!$G$7:$G$162,$B21,'25.06'!$F$7:$F$162,F$3)</f>
        <v>0</v>
      </c>
      <c r="G21" s="213">
        <f>sumifs('25.06'!$H$7:$H$162,'25.06'!$G$7:$G$162,$B21,'25.06'!$F$7:$F$162,G$3)</f>
        <v>0</v>
      </c>
      <c r="H21" s="213">
        <f>sumifs('25.06'!$H$7:$H$162,'25.06'!$G$7:$G$162,$B21,'25.06'!$F$7:$F$162,H$3)</f>
        <v>0</v>
      </c>
      <c r="I21" s="213">
        <f>sumifs('25.06'!$H$7:$H$162,'25.06'!$G$7:$G$162,$B21,'25.06'!$F$7:$F$162,I$3)</f>
        <v>0</v>
      </c>
      <c r="J21" s="213">
        <f>sumifs('25.06'!$H$7:$H$162,'25.06'!$G$7:$G$162,$B21,'25.06'!$F$7:$F$162,J$3)</f>
        <v>0</v>
      </c>
      <c r="K21" s="213">
        <f>sumifs('25.06'!$H$7:$H$162,'25.06'!$G$7:$G$162,$B21,'25.06'!$F$7:$F$162,K$3)</f>
        <v>0</v>
      </c>
      <c r="L21" s="214">
        <f t="shared" si="1"/>
        <v>0</v>
      </c>
      <c r="M21" s="215"/>
      <c r="N21" s="215" t="str">
        <f t="shared" si="5"/>
        <v>#DIV/0!</v>
      </c>
      <c r="O21" s="215"/>
      <c r="R21" s="213">
        <f>sumifs('25.06'!$H$7:$H$162,'25.06'!$I$7:$I$162,$B21,'25.06'!$J$7:$J$162,R$3)</f>
        <v>0</v>
      </c>
      <c r="S21" s="213">
        <f>sumifs('25.06'!$H$7:$H$162,'25.06'!$I$7:$I$162,$B21,'25.06'!$J$7:$J$162,S$3)</f>
        <v>0</v>
      </c>
      <c r="T21" s="213">
        <f>sumifs('25.06'!$H$7:$H$162,'25.06'!$I$7:$I$162,$B21,'25.06'!$J$7:$J$162,T$3)</f>
        <v>0</v>
      </c>
      <c r="U21" s="213">
        <f>sumifs('25.06'!$H$7:$H$162,'25.06'!$I$7:$I$162,$B21,'25.06'!$J$7:$J$162,U$3)</f>
        <v>0</v>
      </c>
      <c r="V21" s="213">
        <f>sumifs('25.06'!$H$7:$H$162,'25.06'!$I$7:$I$162,$B21,'25.06'!$J$7:$J$162,V$3)</f>
        <v>0</v>
      </c>
      <c r="W21" s="213">
        <f>sumifs('25.06'!$H$7:$H$162,'25.06'!$I$7:$I$162,$B21,'25.06'!$J$7:$J$162,W$3)</f>
        <v>0</v>
      </c>
      <c r="X21" s="213">
        <f>sumifs('25.06'!$H$7:$H$162,'25.06'!$I$7:$I$162,$B21,'25.06'!$J$7:$J$162,X$3)</f>
        <v>0</v>
      </c>
      <c r="Y21" s="213">
        <f>sumifs('25.06'!$H$7:$H$162,'25.06'!$I$7:$I$162,$B21,'25.06'!$J$7:$J$162,Y$3)</f>
        <v>0</v>
      </c>
      <c r="Z21" s="213">
        <f>sumifs('25.06'!$H$7:$H$162,'25.06'!$I$7:$I$162,$B21,'25.06'!$J$7:$J$162,Z$3)</f>
        <v>0</v>
      </c>
      <c r="AA21" s="214">
        <f t="shared" si="3"/>
        <v>0</v>
      </c>
    </row>
    <row r="22">
      <c r="A22" s="216">
        <v>45049.0</v>
      </c>
      <c r="B22" s="217" t="s">
        <v>75</v>
      </c>
      <c r="C22" s="218">
        <f>sumifs('25.06'!$H$7:$H$162,'25.06'!$G$7:$G$162,$B22,'25.06'!$F$7:$F$162,C$3)</f>
        <v>0</v>
      </c>
      <c r="D22" s="218">
        <f>sumifs('25.06'!$H$7:$H$162,'25.06'!$G$7:$G$162,$B22,'25.06'!$F$7:$F$162,D$3)</f>
        <v>0</v>
      </c>
      <c r="E22" s="218">
        <f>sumifs('25.06'!$H$7:$H$162,'25.06'!$G$7:$G$162,$B22,'25.06'!$F$7:$F$162,E$3)</f>
        <v>0</v>
      </c>
      <c r="F22" s="218">
        <f>sumifs('25.06'!$H$7:$H$162,'25.06'!$G$7:$G$162,$B22,'25.06'!$F$7:$F$162,F$3)</f>
        <v>0</v>
      </c>
      <c r="G22" s="218">
        <f>sumifs('25.06'!$H$7:$H$162,'25.06'!$G$7:$G$162,$B22,'25.06'!$F$7:$F$162,G$3)</f>
        <v>0</v>
      </c>
      <c r="H22" s="218">
        <f>sumifs('25.06'!$H$7:$H$162,'25.06'!$G$7:$G$162,$B22,'25.06'!$F$7:$F$162,H$3)</f>
        <v>0</v>
      </c>
      <c r="I22" s="218">
        <f>sumifs('25.06'!$H$7:$H$162,'25.06'!$G$7:$G$162,$B22,'25.06'!$F$7:$F$162,I$3)</f>
        <v>0</v>
      </c>
      <c r="J22" s="218">
        <f>sumifs('25.06'!$H$7:$H$162,'25.06'!$G$7:$G$162,$B22,'25.06'!$F$7:$F$162,J$3)</f>
        <v>0</v>
      </c>
      <c r="K22" s="218">
        <f>sumifs('25.06'!$H$7:$H$162,'25.06'!$G$7:$G$162,$B22,'25.06'!$F$7:$F$162,K$3)</f>
        <v>0</v>
      </c>
      <c r="L22" s="214">
        <f t="shared" si="1"/>
        <v>0</v>
      </c>
      <c r="M22" s="215"/>
      <c r="N22" s="215" t="str">
        <f t="shared" si="5"/>
        <v>#DIV/0!</v>
      </c>
      <c r="O22" s="215"/>
      <c r="R22" s="218">
        <f>sumifs('25.06'!$H$7:$H$162,'25.06'!$I$7:$I$162,$B22,'25.06'!$J$7:$J$162,R$3)</f>
        <v>0</v>
      </c>
      <c r="S22" s="218">
        <f>sumifs('25.06'!$H$7:$H$162,'25.06'!$I$7:$I$162,$B22,'25.06'!$J$7:$J$162,S$3)</f>
        <v>0</v>
      </c>
      <c r="T22" s="218">
        <f>sumifs('25.06'!$H$7:$H$162,'25.06'!$I$7:$I$162,$B22,'25.06'!$J$7:$J$162,T$3)</f>
        <v>0</v>
      </c>
      <c r="U22" s="218">
        <f>sumifs('25.06'!$H$7:$H$162,'25.06'!$I$7:$I$162,$B22,'25.06'!$J$7:$J$162,U$3)</f>
        <v>0</v>
      </c>
      <c r="V22" s="218">
        <f>sumifs('25.06'!$H$7:$H$162,'25.06'!$I$7:$I$162,$B22,'25.06'!$J$7:$J$162,V$3)</f>
        <v>0</v>
      </c>
      <c r="W22" s="218">
        <f>sumifs('25.06'!$H$7:$H$162,'25.06'!$I$7:$I$162,$B22,'25.06'!$J$7:$J$162,W$3)</f>
        <v>0</v>
      </c>
      <c r="X22" s="218">
        <f>sumifs('25.06'!$H$7:$H$162,'25.06'!$I$7:$I$162,$B22,'25.06'!$J$7:$J$162,X$3)</f>
        <v>0</v>
      </c>
      <c r="Y22" s="218">
        <f>sumifs('25.06'!$H$7:$H$162,'25.06'!$I$7:$I$162,$B22,'25.06'!$J$7:$J$162,Y$3)</f>
        <v>0</v>
      </c>
      <c r="Z22" s="218">
        <f>sumifs('25.06'!$H$7:$H$162,'25.06'!$I$7:$I$162,$B22,'25.06'!$J$7:$J$162,Z$3)</f>
        <v>0</v>
      </c>
      <c r="AA22" s="214">
        <f t="shared" si="3"/>
        <v>0</v>
      </c>
    </row>
    <row r="23">
      <c r="A23" s="205">
        <v>4.0</v>
      </c>
      <c r="B23" s="206" t="s">
        <v>76</v>
      </c>
      <c r="C23" s="207">
        <f>sumifs('25.06'!$H$7:$H$162,'25.06'!$G$7:$G$162,$B23,'25.06'!$F$7:$F$162,C$3)</f>
        <v>0</v>
      </c>
      <c r="D23" s="207">
        <f>sumifs('25.06'!$H$7:$H$162,'25.06'!$G$7:$G$162,$B23,'25.06'!$F$7:$F$162,D$3)</f>
        <v>0</v>
      </c>
      <c r="E23" s="207">
        <f>sumifs('25.06'!$H$7:$H$162,'25.06'!$G$7:$G$162,$B23,'25.06'!$F$7:$F$162,E$3)</f>
        <v>0</v>
      </c>
      <c r="F23" s="207">
        <f>sumifs('25.06'!$H$7:$H$162,'25.06'!$G$7:$G$162,$B23,'25.06'!$F$7:$F$162,F$3)</f>
        <v>0</v>
      </c>
      <c r="G23" s="207">
        <f>sumifs('25.06'!$H$7:$H$162,'25.06'!$G$7:$G$162,$B23,'25.06'!$F$7:$F$162,G$3)</f>
        <v>0</v>
      </c>
      <c r="H23" s="207">
        <f>sumifs('25.06'!$H$7:$H$162,'25.06'!$G$7:$G$162,$B23,'25.06'!$F$7:$F$162,H$3)</f>
        <v>0</v>
      </c>
      <c r="I23" s="207">
        <f>sumifs('25.06'!$H$7:$H$162,'25.06'!$G$7:$G$162,$B23,'25.06'!$F$7:$F$162,I$3)</f>
        <v>0</v>
      </c>
      <c r="J23" s="207">
        <f>sumifs('25.06'!$H$7:$H$162,'25.06'!$G$7:$G$162,$B23,'25.06'!$F$7:$F$162,J$3)</f>
        <v>0</v>
      </c>
      <c r="K23" s="207">
        <f>sumifs('25.06'!$H$7:$H$162,'25.06'!$G$7:$G$162,$B23,'25.06'!$F$7:$F$162,K$3)</f>
        <v>0</v>
      </c>
      <c r="L23" s="208">
        <f t="shared" si="1"/>
        <v>0</v>
      </c>
      <c r="M23" s="209"/>
      <c r="N23" s="209" t="str">
        <f t="shared" ref="N23:N24" si="6">L23/sum(L$23:L$28)</f>
        <v>#DIV/0!</v>
      </c>
      <c r="O23" s="209"/>
      <c r="P23" s="210">
        <f>sum(L23:L28)</f>
        <v>0</v>
      </c>
      <c r="Q23" s="209" t="str">
        <f>P22/sum($P$4:$P$57)</f>
        <v>#DIV/0!</v>
      </c>
      <c r="R23" s="207">
        <f>sumifs('25.06'!$H$7:$H$162,'25.06'!$I$7:$I$162,$B23,'25.06'!$J$7:$J$162,R$3)</f>
        <v>0</v>
      </c>
      <c r="S23" s="207">
        <f>sumifs('25.06'!$H$7:$H$162,'25.06'!$I$7:$I$162,$B23,'25.06'!$J$7:$J$162,S$3)</f>
        <v>0</v>
      </c>
      <c r="T23" s="207">
        <f>sumifs('25.06'!$H$7:$H$162,'25.06'!$I$7:$I$162,$B23,'25.06'!$J$7:$J$162,T$3)</f>
        <v>0</v>
      </c>
      <c r="U23" s="207">
        <f>sumifs('25.06'!$H$7:$H$162,'25.06'!$I$7:$I$162,$B23,'25.06'!$J$7:$J$162,U$3)</f>
        <v>0</v>
      </c>
      <c r="V23" s="207">
        <f>sumifs('25.06'!$H$7:$H$162,'25.06'!$I$7:$I$162,$B23,'25.06'!$J$7:$J$162,V$3)</f>
        <v>0</v>
      </c>
      <c r="W23" s="207">
        <f>sumifs('25.06'!$H$7:$H$162,'25.06'!$I$7:$I$162,$B23,'25.06'!$J$7:$J$162,W$3)</f>
        <v>0</v>
      </c>
      <c r="X23" s="207">
        <f>sumifs('25.06'!$H$7:$H$162,'25.06'!$I$7:$I$162,$B23,'25.06'!$J$7:$J$162,X$3)</f>
        <v>0</v>
      </c>
      <c r="Y23" s="207">
        <f>sumifs('25.06'!$H$7:$H$162,'25.06'!$I$7:$I$162,$B23,'25.06'!$J$7:$J$162,Y$3)</f>
        <v>0</v>
      </c>
      <c r="Z23" s="207">
        <f>sumifs('25.06'!$H$7:$H$162,'25.06'!$I$7:$I$162,$B23,'25.06'!$J$7:$J$162,Z$3)</f>
        <v>0</v>
      </c>
      <c r="AA23" s="208">
        <f t="shared" si="3"/>
        <v>0</v>
      </c>
    </row>
    <row r="24">
      <c r="A24" s="211">
        <v>44930.0</v>
      </c>
      <c r="B24" s="212" t="s">
        <v>77</v>
      </c>
      <c r="C24" s="213">
        <f>sumifs('25.06'!$H$7:$H$162,'25.06'!$G$7:$G$162,$B24,'25.06'!$F$7:$F$162,C$3)</f>
        <v>0</v>
      </c>
      <c r="D24" s="213">
        <f>sumifs('25.06'!$H$7:$H$162,'25.06'!$G$7:$G$162,$B24,'25.06'!$F$7:$F$162,D$3)</f>
        <v>0</v>
      </c>
      <c r="E24" s="213">
        <f>sumifs('25.06'!$H$7:$H$162,'25.06'!$G$7:$G$162,$B24,'25.06'!$F$7:$F$162,E$3)</f>
        <v>0</v>
      </c>
      <c r="F24" s="213">
        <f>sumifs('25.06'!$H$7:$H$162,'25.06'!$G$7:$G$162,$B24,'25.06'!$F$7:$F$162,F$3)</f>
        <v>0</v>
      </c>
      <c r="G24" s="213">
        <f>sumifs('25.06'!$H$7:$H$162,'25.06'!$G$7:$G$162,$B24,'25.06'!$F$7:$F$162,G$3)</f>
        <v>0</v>
      </c>
      <c r="H24" s="213">
        <f>sumifs('25.06'!$H$7:$H$162,'25.06'!$G$7:$G$162,$B24,'25.06'!$F$7:$F$162,H$3)</f>
        <v>0</v>
      </c>
      <c r="I24" s="213">
        <f>sumifs('25.06'!$H$7:$H$162,'25.06'!$G$7:$G$162,$B24,'25.06'!$F$7:$F$162,I$3)</f>
        <v>0</v>
      </c>
      <c r="J24" s="213">
        <f>sumifs('25.06'!$H$7:$H$162,'25.06'!$G$7:$G$162,$B24,'25.06'!$F$7:$F$162,J$3)</f>
        <v>0</v>
      </c>
      <c r="K24" s="213">
        <f>sumifs('25.06'!$H$7:$H$162,'25.06'!$G$7:$G$162,$B24,'25.06'!$F$7:$F$162,K$3)</f>
        <v>0</v>
      </c>
      <c r="L24" s="214">
        <f t="shared" si="1"/>
        <v>0</v>
      </c>
      <c r="M24" s="215"/>
      <c r="N24" s="215" t="str">
        <f t="shared" si="6"/>
        <v>#DIV/0!</v>
      </c>
      <c r="O24" s="215"/>
      <c r="R24" s="213">
        <f>sumifs('25.06'!$H$7:$H$162,'25.06'!$I$7:$I$162,$B24,'25.06'!$J$7:$J$162,R$3)</f>
        <v>0</v>
      </c>
      <c r="S24" s="213">
        <f>sumifs('25.06'!$H$7:$H$162,'25.06'!$I$7:$I$162,$B24,'25.06'!$J$7:$J$162,S$3)</f>
        <v>0</v>
      </c>
      <c r="T24" s="213">
        <f>sumifs('25.06'!$H$7:$H$162,'25.06'!$I$7:$I$162,$B24,'25.06'!$J$7:$J$162,T$3)</f>
        <v>0</v>
      </c>
      <c r="U24" s="213">
        <f>sumifs('25.06'!$H$7:$H$162,'25.06'!$I$7:$I$162,$B24,'25.06'!$J$7:$J$162,U$3)</f>
        <v>0</v>
      </c>
      <c r="V24" s="213">
        <f>sumifs('25.06'!$H$7:$H$162,'25.06'!$I$7:$I$162,$B24,'25.06'!$J$7:$J$162,V$3)</f>
        <v>0</v>
      </c>
      <c r="W24" s="213">
        <f>sumifs('25.06'!$H$7:$H$162,'25.06'!$I$7:$I$162,$B24,'25.06'!$J$7:$J$162,W$3)</f>
        <v>0</v>
      </c>
      <c r="X24" s="213">
        <f>sumifs('25.06'!$H$7:$H$162,'25.06'!$I$7:$I$162,$B24,'25.06'!$J$7:$J$162,X$3)</f>
        <v>0</v>
      </c>
      <c r="Y24" s="213">
        <f>sumifs('25.06'!$H$7:$H$162,'25.06'!$I$7:$I$162,$B24,'25.06'!$J$7:$J$162,Y$3)</f>
        <v>0</v>
      </c>
      <c r="Z24" s="213">
        <f>sumifs('25.06'!$H$7:$H$162,'25.06'!$I$7:$I$162,$B24,'25.06'!$J$7:$J$162,Z$3)</f>
        <v>0</v>
      </c>
      <c r="AA24" s="214">
        <f t="shared" si="3"/>
        <v>0</v>
      </c>
    </row>
    <row r="25">
      <c r="A25" s="211"/>
      <c r="B25" s="212" t="s">
        <v>78</v>
      </c>
      <c r="C25" s="213">
        <f>sumifs('25.06'!$H$7:$H$162,'25.06'!$G$7:$G$162,$B25,'25.06'!$F$7:$F$162,C$3)</f>
        <v>0</v>
      </c>
      <c r="D25" s="213">
        <f>sumifs('25.06'!$H$7:$H$162,'25.06'!$G$7:$G$162,$B25,'25.06'!$F$7:$F$162,D$3)</f>
        <v>0</v>
      </c>
      <c r="E25" s="213">
        <f>sumifs('25.06'!$H$7:$H$162,'25.06'!$G$7:$G$162,$B25,'25.06'!$F$7:$F$162,E$3)</f>
        <v>0</v>
      </c>
      <c r="F25" s="213">
        <f>sumifs('25.06'!$H$7:$H$162,'25.06'!$G$7:$G$162,$B25,'25.06'!$F$7:$F$162,F$3)</f>
        <v>0</v>
      </c>
      <c r="G25" s="213">
        <f>sumifs('25.06'!$H$7:$H$162,'25.06'!$G$7:$G$162,$B25,'25.06'!$F$7:$F$162,G$3)</f>
        <v>0</v>
      </c>
      <c r="H25" s="213">
        <f>sumifs('25.06'!$H$7:$H$162,'25.06'!$G$7:$G$162,$B25,'25.06'!$F$7:$F$162,H$3)</f>
        <v>0</v>
      </c>
      <c r="I25" s="213">
        <f>sumifs('25.06'!$H$7:$H$162,'25.06'!$G$7:$G$162,$B25,'25.06'!$F$7:$F$162,I$3)</f>
        <v>0</v>
      </c>
      <c r="J25" s="213">
        <f>sumifs('25.06'!$H$7:$H$162,'25.06'!$G$7:$G$162,$B25,'25.06'!$F$7:$F$162,J$3)</f>
        <v>0</v>
      </c>
      <c r="K25" s="213">
        <f>sumifs('25.06'!$H$7:$H$162,'25.06'!$G$7:$G$162,$B25,'25.06'!$F$7:$F$162,K$3)</f>
        <v>0</v>
      </c>
      <c r="L25" s="214">
        <f t="shared" si="1"/>
        <v>0</v>
      </c>
      <c r="M25" s="215"/>
      <c r="N25" s="215"/>
      <c r="O25" s="215"/>
      <c r="R25" s="213"/>
      <c r="S25" s="213"/>
      <c r="T25" s="213"/>
      <c r="U25" s="213"/>
      <c r="V25" s="213"/>
      <c r="W25" s="213"/>
      <c r="X25" s="213"/>
      <c r="Y25" s="213"/>
      <c r="Z25" s="213"/>
      <c r="AA25" s="214"/>
    </row>
    <row r="26">
      <c r="A26" s="211">
        <v>44961.0</v>
      </c>
      <c r="B26" s="212" t="s">
        <v>79</v>
      </c>
      <c r="C26" s="213">
        <f>sumifs('25.06'!$H$7:$H$162,'25.06'!$G$7:$G$162,$B26,'25.06'!$F$7:$F$162,C$3)</f>
        <v>0</v>
      </c>
      <c r="D26" s="213">
        <f>sumifs('25.06'!$H$7:$H$162,'25.06'!$G$7:$G$162,$B26,'25.06'!$F$7:$F$162,D$3)</f>
        <v>0</v>
      </c>
      <c r="E26" s="213">
        <f>sumifs('25.06'!$H$7:$H$162,'25.06'!$G$7:$G$162,$B26,'25.06'!$F$7:$F$162,E$3)</f>
        <v>0</v>
      </c>
      <c r="F26" s="213">
        <f>sumifs('25.06'!$H$7:$H$162,'25.06'!$G$7:$G$162,$B26,'25.06'!$F$7:$F$162,F$3)</f>
        <v>0</v>
      </c>
      <c r="G26" s="213">
        <f>sumifs('25.06'!$H$7:$H$162,'25.06'!$G$7:$G$162,$B26,'25.06'!$F$7:$F$162,G$3)</f>
        <v>0</v>
      </c>
      <c r="H26" s="213">
        <f>sumifs('25.06'!$H$7:$H$162,'25.06'!$G$7:$G$162,$B26,'25.06'!$F$7:$F$162,H$3)</f>
        <v>0</v>
      </c>
      <c r="I26" s="213">
        <f>sumifs('25.06'!$H$7:$H$162,'25.06'!$G$7:$G$162,$B26,'25.06'!$F$7:$F$162,I$3)</f>
        <v>0</v>
      </c>
      <c r="J26" s="213">
        <f>sumifs('25.06'!$H$7:$H$162,'25.06'!$G$7:$G$162,$B26,'25.06'!$F$7:$F$162,J$3)</f>
        <v>0</v>
      </c>
      <c r="K26" s="213">
        <f>sumifs('25.06'!$H$7:$H$162,'25.06'!$G$7:$G$162,$B26,'25.06'!$F$7:$F$162,K$3)</f>
        <v>0</v>
      </c>
      <c r="L26" s="214">
        <f t="shared" si="1"/>
        <v>0</v>
      </c>
      <c r="M26" s="215"/>
      <c r="N26" s="215" t="str">
        <f t="shared" ref="N26:N28" si="7">L26/sum(L$23:L$28)</f>
        <v>#DIV/0!</v>
      </c>
      <c r="O26" s="215"/>
      <c r="R26" s="213">
        <f>sumifs('25.06'!$H$7:$H$162,'25.06'!$I$7:$I$162,$B26,'25.06'!$J$7:$J$162,R$3)</f>
        <v>0</v>
      </c>
      <c r="S26" s="213">
        <f>sumifs('25.06'!$H$7:$H$162,'25.06'!$I$7:$I$162,$B26,'25.06'!$J$7:$J$162,S$3)</f>
        <v>0</v>
      </c>
      <c r="T26" s="213">
        <f>sumifs('25.06'!$H$7:$H$162,'25.06'!$I$7:$I$162,$B26,'25.06'!$J$7:$J$162,T$3)</f>
        <v>0</v>
      </c>
      <c r="U26" s="213">
        <f>sumifs('25.06'!$H$7:$H$162,'25.06'!$I$7:$I$162,$B26,'25.06'!$J$7:$J$162,U$3)</f>
        <v>0</v>
      </c>
      <c r="V26" s="213">
        <f>sumifs('25.06'!$H$7:$H$162,'25.06'!$I$7:$I$162,$B26,'25.06'!$J$7:$J$162,V$3)</f>
        <v>0</v>
      </c>
      <c r="W26" s="213">
        <f>sumifs('25.06'!$H$7:$H$162,'25.06'!$I$7:$I$162,$B26,'25.06'!$J$7:$J$162,W$3)</f>
        <v>0</v>
      </c>
      <c r="X26" s="213">
        <f>sumifs('25.06'!$H$7:$H$162,'25.06'!$I$7:$I$162,$B26,'25.06'!$J$7:$J$162,X$3)</f>
        <v>0</v>
      </c>
      <c r="Y26" s="213">
        <f>sumifs('25.06'!$H$7:$H$162,'25.06'!$I$7:$I$162,$B26,'25.06'!$J$7:$J$162,Y$3)</f>
        <v>0</v>
      </c>
      <c r="Z26" s="213">
        <f>sumifs('25.06'!$H$7:$H$162,'25.06'!$I$7:$I$162,$B26,'25.06'!$J$7:$J$162,Z$3)</f>
        <v>0</v>
      </c>
      <c r="AA26" s="214">
        <f t="shared" ref="AA26:AA69" si="8">sum(R26:Z26)</f>
        <v>0</v>
      </c>
    </row>
    <row r="27">
      <c r="A27" s="211">
        <v>44989.0</v>
      </c>
      <c r="B27" s="212" t="s">
        <v>80</v>
      </c>
      <c r="C27" s="213">
        <f>sumifs('25.06'!$H$7:$H$162,'25.06'!$G$7:$G$162,$B27,'25.06'!$F$7:$F$162,C$3)</f>
        <v>0</v>
      </c>
      <c r="D27" s="219" t="s">
        <v>0</v>
      </c>
      <c r="E27" s="213">
        <f>sumifs('25.06'!$H$7:$H$162,'25.06'!$G$7:$G$162,$B27,'25.06'!$F$7:$F$162,E$3)</f>
        <v>0</v>
      </c>
      <c r="F27" s="213">
        <f>sumifs('25.06'!$H$7:$H$162,'25.06'!$G$7:$G$162,$B27,'25.06'!$F$7:$F$162,F$3)</f>
        <v>0</v>
      </c>
      <c r="G27" s="213">
        <f>sumifs('25.06'!$H$7:$H$162,'25.06'!$G$7:$G$162,$B27,'25.06'!$F$7:$F$162,G$3)</f>
        <v>0</v>
      </c>
      <c r="H27" s="213">
        <f>sumifs('25.06'!$H$7:$H$162,'25.06'!$G$7:$G$162,$B27,'25.06'!$F$7:$F$162,H$3)</f>
        <v>0</v>
      </c>
      <c r="I27" s="213">
        <f>sumifs('25.06'!$H$7:$H$162,'25.06'!$G$7:$G$162,$B27,'25.06'!$F$7:$F$162,I$3)</f>
        <v>0</v>
      </c>
      <c r="J27" s="213">
        <f>sumifs('25.06'!$H$7:$H$162,'25.06'!$G$7:$G$162,$B27,'25.06'!$F$7:$F$162,J$3)</f>
        <v>0</v>
      </c>
      <c r="K27" s="213">
        <f>sumifs('25.06'!$H$7:$H$162,'25.06'!$G$7:$G$162,$B27,'25.06'!$F$7:$F$162,K$3)</f>
        <v>0</v>
      </c>
      <c r="L27" s="214">
        <f t="shared" si="1"/>
        <v>0</v>
      </c>
      <c r="M27" s="215"/>
      <c r="N27" s="215" t="str">
        <f t="shared" si="7"/>
        <v>#DIV/0!</v>
      </c>
      <c r="O27" s="215"/>
      <c r="R27" s="213">
        <f>sumifs('25.06'!$H$7:$H$162,'25.06'!$I$7:$I$162,$B27,'25.06'!$J$7:$J$162,R$3)</f>
        <v>0</v>
      </c>
      <c r="S27" s="213">
        <f>sumifs('25.06'!$H$7:$H$162,'25.06'!$I$7:$I$162,$B27,'25.06'!$J$7:$J$162,S$3)</f>
        <v>0</v>
      </c>
      <c r="T27" s="213">
        <f>sumifs('25.06'!$H$7:$H$162,'25.06'!$I$7:$I$162,$B27,'25.06'!$J$7:$J$162,T$3)</f>
        <v>0</v>
      </c>
      <c r="U27" s="213">
        <f>sumifs('25.06'!$H$7:$H$162,'25.06'!$I$7:$I$162,$B27,'25.06'!$J$7:$J$162,U$3)</f>
        <v>0</v>
      </c>
      <c r="V27" s="213">
        <f>sumifs('25.06'!$H$7:$H$162,'25.06'!$I$7:$I$162,$B27,'25.06'!$J$7:$J$162,V$3)</f>
        <v>0</v>
      </c>
      <c r="W27" s="213">
        <f>sumifs('25.06'!$H$7:$H$162,'25.06'!$I$7:$I$162,$B27,'25.06'!$J$7:$J$162,W$3)</f>
        <v>0</v>
      </c>
      <c r="X27" s="213">
        <f>sumifs('25.06'!$H$7:$H$162,'25.06'!$I$7:$I$162,$B27,'25.06'!$J$7:$J$162,X$3)</f>
        <v>0</v>
      </c>
      <c r="Y27" s="213">
        <f>sumifs('25.06'!$H$7:$H$162,'25.06'!$I$7:$I$162,$B27,'25.06'!$J$7:$J$162,Y$3)</f>
        <v>0</v>
      </c>
      <c r="Z27" s="213">
        <f>sumifs('25.06'!$H$7:$H$162,'25.06'!$I$7:$I$162,$B27,'25.06'!$J$7:$J$162,Z$3)</f>
        <v>0</v>
      </c>
      <c r="AA27" s="214">
        <f t="shared" si="8"/>
        <v>0</v>
      </c>
    </row>
    <row r="28">
      <c r="A28" s="216">
        <v>45020.0</v>
      </c>
      <c r="B28" s="217" t="s">
        <v>81</v>
      </c>
      <c r="C28" s="218">
        <f>sumifs('25.06'!$H$7:$H$162,'25.06'!$G$7:$G$162,$B28,'25.06'!$F$7:$F$162,C$3)</f>
        <v>0</v>
      </c>
      <c r="D28" s="218">
        <f>sumifs('25.06'!$H$7:$H$162,'25.06'!$G$7:$G$162,$B28,'25.06'!$F$7:$F$162,D$3)</f>
        <v>0</v>
      </c>
      <c r="E28" s="218">
        <f>sumifs('25.06'!$H$7:$H$162,'25.06'!$G$7:$G$162,$B28,'25.06'!$F$7:$F$162,E$3)</f>
        <v>0</v>
      </c>
      <c r="F28" s="218">
        <f>sumifs('25.06'!$H$7:$H$162,'25.06'!$G$7:$G$162,$B28,'25.06'!$F$7:$F$162,F$3)</f>
        <v>0</v>
      </c>
      <c r="G28" s="218">
        <f>sumifs('25.06'!$H$7:$H$162,'25.06'!$G$7:$G$162,$B28,'25.06'!$F$7:$F$162,G$3)</f>
        <v>0</v>
      </c>
      <c r="H28" s="218">
        <f>sumifs('25.06'!$H$7:$H$162,'25.06'!$G$7:$G$162,$B28,'25.06'!$F$7:$F$162,H$3)</f>
        <v>0</v>
      </c>
      <c r="I28" s="218">
        <f>sumifs('25.06'!$H$7:$H$162,'25.06'!$G$7:$G$162,$B28,'25.06'!$F$7:$F$162,I$3)</f>
        <v>0</v>
      </c>
      <c r="J28" s="218">
        <f>sumifs('25.06'!$H$7:$H$162,'25.06'!$G$7:$G$162,$B28,'25.06'!$F$7:$F$162,J$3)</f>
        <v>0</v>
      </c>
      <c r="K28" s="218">
        <f>sumifs('25.06'!$H$7:$H$162,'25.06'!$G$7:$G$162,$B28,'25.06'!$F$7:$F$162,K$3)</f>
        <v>0</v>
      </c>
      <c r="L28" s="214">
        <f t="shared" si="1"/>
        <v>0</v>
      </c>
      <c r="M28" s="215"/>
      <c r="N28" s="215" t="str">
        <f t="shared" si="7"/>
        <v>#DIV/0!</v>
      </c>
      <c r="O28" s="215"/>
      <c r="R28" s="218">
        <f>sumifs('25.06'!$H$7:$H$162,'25.06'!$I$7:$I$162,$B28,'25.06'!$J$7:$J$162,R$3)</f>
        <v>0</v>
      </c>
      <c r="S28" s="218">
        <f>sumifs('25.06'!$H$7:$H$162,'25.06'!$I$7:$I$162,$B28,'25.06'!$J$7:$J$162,S$3)</f>
        <v>0</v>
      </c>
      <c r="T28" s="218">
        <f>sumifs('25.06'!$H$7:$H$162,'25.06'!$I$7:$I$162,$B28,'25.06'!$J$7:$J$162,T$3)</f>
        <v>0</v>
      </c>
      <c r="U28" s="218">
        <f>sumifs('25.06'!$H$7:$H$162,'25.06'!$I$7:$I$162,$B28,'25.06'!$J$7:$J$162,U$3)</f>
        <v>0</v>
      </c>
      <c r="V28" s="218">
        <f>sumifs('25.06'!$H$7:$H$162,'25.06'!$I$7:$I$162,$B28,'25.06'!$J$7:$J$162,V$3)</f>
        <v>0</v>
      </c>
      <c r="W28" s="218">
        <f>sumifs('25.06'!$H$7:$H$162,'25.06'!$I$7:$I$162,$B28,'25.06'!$J$7:$J$162,W$3)</f>
        <v>0</v>
      </c>
      <c r="X28" s="218">
        <f>sumifs('25.06'!$H$7:$H$162,'25.06'!$I$7:$I$162,$B28,'25.06'!$J$7:$J$162,X$3)</f>
        <v>0</v>
      </c>
      <c r="Y28" s="218">
        <f>sumifs('25.06'!$H$7:$H$162,'25.06'!$I$7:$I$162,$B28,'25.06'!$J$7:$J$162,Y$3)</f>
        <v>0</v>
      </c>
      <c r="Z28" s="218">
        <f>sumifs('25.06'!$H$7:$H$162,'25.06'!$I$7:$I$162,$B28,'25.06'!$J$7:$J$162,Z$3)</f>
        <v>0</v>
      </c>
      <c r="AA28" s="214">
        <f t="shared" si="8"/>
        <v>0</v>
      </c>
    </row>
    <row r="29">
      <c r="A29" s="205">
        <v>5.0</v>
      </c>
      <c r="B29" s="206" t="s">
        <v>82</v>
      </c>
      <c r="C29" s="207">
        <f>sumifs('25.06'!$H$7:$H$162,'25.06'!$G$7:$G$162,$B29,'25.06'!$F$7:$F$162,C$3)</f>
        <v>0</v>
      </c>
      <c r="D29" s="207">
        <f>sumifs('25.06'!$H$7:$H$162,'25.06'!$G$7:$G$162,$B29,'25.06'!$F$7:$F$162,D$3)</f>
        <v>0</v>
      </c>
      <c r="E29" s="207">
        <f>sumifs('25.06'!$H$7:$H$162,'25.06'!$G$7:$G$162,$B29,'25.06'!$F$7:$F$162,E$3)</f>
        <v>0</v>
      </c>
      <c r="F29" s="207">
        <f>sumifs('25.06'!$H$7:$H$162,'25.06'!$G$7:$G$162,$B29,'25.06'!$F$7:$F$162,F$3)</f>
        <v>0</v>
      </c>
      <c r="G29" s="207">
        <f>sumifs('25.06'!$H$7:$H$162,'25.06'!$G$7:$G$162,$B29,'25.06'!$F$7:$F$162,G$3)</f>
        <v>0</v>
      </c>
      <c r="H29" s="207">
        <f>sumifs('25.06'!$H$7:$H$162,'25.06'!$G$7:$G$162,$B29,'25.06'!$F$7:$F$162,H$3)</f>
        <v>0</v>
      </c>
      <c r="I29" s="207">
        <f>sumifs('25.06'!$H$7:$H$162,'25.06'!$G$7:$G$162,$B29,'25.06'!$F$7:$F$162,I$3)</f>
        <v>0</v>
      </c>
      <c r="J29" s="207">
        <f>sumifs('25.06'!$H$7:$H$162,'25.06'!$G$7:$G$162,$B29,'25.06'!$F$7:$F$162,J$3)</f>
        <v>0</v>
      </c>
      <c r="K29" s="207">
        <f>sumifs('25.06'!$H$7:$H$162,'25.06'!$G$7:$G$162,$B29,'25.06'!$F$7:$F$162,K$3)</f>
        <v>0</v>
      </c>
      <c r="L29" s="208">
        <f t="shared" si="1"/>
        <v>0</v>
      </c>
      <c r="M29" s="209"/>
      <c r="N29" s="209" t="str">
        <f t="shared" ref="N29:N54" si="9">L29/sum(L$29:L$54)</f>
        <v>#DIV/0!</v>
      </c>
      <c r="O29" s="209"/>
      <c r="P29" s="210">
        <f>sum(L29:L54)</f>
        <v>0</v>
      </c>
      <c r="Q29" s="209" t="str">
        <f>P29/sum($P$4:$P$57)</f>
        <v>#DIV/0!</v>
      </c>
      <c r="R29" s="207">
        <f>sumifs('25.06'!$H$7:$H$162,'25.06'!$I$7:$I$162,$B29,'25.06'!$J$7:$J$162,R$3)</f>
        <v>0</v>
      </c>
      <c r="S29" s="207">
        <f>sumifs('25.06'!$H$7:$H$162,'25.06'!$I$7:$I$162,$B29,'25.06'!$J$7:$J$162,S$3)</f>
        <v>0</v>
      </c>
      <c r="T29" s="207">
        <f>sumifs('25.06'!$H$7:$H$162,'25.06'!$I$7:$I$162,$B29,'25.06'!$J$7:$J$162,T$3)</f>
        <v>0</v>
      </c>
      <c r="U29" s="207">
        <f>sumifs('25.06'!$H$7:$H$162,'25.06'!$I$7:$I$162,$B29,'25.06'!$J$7:$J$162,U$3)</f>
        <v>0</v>
      </c>
      <c r="V29" s="207">
        <f>sumifs('25.06'!$H$7:$H$162,'25.06'!$I$7:$I$162,$B29,'25.06'!$J$7:$J$162,V$3)</f>
        <v>0</v>
      </c>
      <c r="W29" s="207">
        <f>sumifs('25.06'!$H$7:$H$162,'25.06'!$I$7:$I$162,$B29,'25.06'!$J$7:$J$162,W$3)</f>
        <v>0</v>
      </c>
      <c r="X29" s="207">
        <f>sumifs('25.06'!$H$7:$H$162,'25.06'!$I$7:$I$162,$B29,'25.06'!$J$7:$J$162,X$3)</f>
        <v>0</v>
      </c>
      <c r="Y29" s="207">
        <f>sumifs('25.06'!$H$7:$H$162,'25.06'!$I$7:$I$162,$B29,'25.06'!$J$7:$J$162,Y$3)</f>
        <v>0</v>
      </c>
      <c r="Z29" s="207">
        <f>sumifs('25.06'!$H$7:$H$162,'25.06'!$I$7:$I$162,$B29,'25.06'!$J$7:$J$162,Z$3)</f>
        <v>0</v>
      </c>
      <c r="AA29" s="208">
        <f t="shared" si="8"/>
        <v>0</v>
      </c>
    </row>
    <row r="30">
      <c r="A30" s="220">
        <v>44931.0</v>
      </c>
      <c r="B30" s="221" t="s">
        <v>83</v>
      </c>
      <c r="C30" s="222">
        <f>sumifs('25.06'!$H$7:$H$162,'25.06'!$G$7:$G$162,$B30,'25.06'!$F$7:$F$162,C$3)</f>
        <v>0</v>
      </c>
      <c r="D30" s="222">
        <f>sumifs('25.06'!$H$7:$H$162,'25.06'!$G$7:$G$162,$B30,'25.06'!$F$7:$F$162,D$3)</f>
        <v>0</v>
      </c>
      <c r="E30" s="222">
        <f>sumifs('25.06'!$H$7:$H$162,'25.06'!$G$7:$G$162,$B30,'25.06'!$F$7:$F$162,E$3)</f>
        <v>0</v>
      </c>
      <c r="F30" s="222">
        <f>sumifs('25.06'!$H$7:$H$162,'25.06'!$G$7:$G$162,$B30,'25.06'!$F$7:$F$162,F$3)</f>
        <v>0</v>
      </c>
      <c r="G30" s="222">
        <f>sumifs('25.06'!$H$7:$H$162,'25.06'!$G$7:$G$162,$B30,'25.06'!$F$7:$F$162,G$3)</f>
        <v>0</v>
      </c>
      <c r="H30" s="222">
        <f>sumifs('25.06'!$H$7:$H$162,'25.06'!$G$7:$G$162,$B30,'25.06'!$F$7:$F$162,H$3)</f>
        <v>0</v>
      </c>
      <c r="I30" s="222">
        <f>sumifs('25.06'!$H$7:$H$162,'25.06'!$G$7:$G$162,$B30,'25.06'!$F$7:$F$162,I$3)</f>
        <v>0</v>
      </c>
      <c r="J30" s="222">
        <f>sumifs('25.06'!$H$7:$H$162,'25.06'!$G$7:$G$162,$B30,'25.06'!$F$7:$F$162,J$3)</f>
        <v>0</v>
      </c>
      <c r="K30" s="222">
        <f>sumifs('25.06'!$H$7:$H$162,'25.06'!$G$7:$G$162,$B30,'25.06'!$F$7:$F$162,K$3)</f>
        <v>0</v>
      </c>
      <c r="L30" s="223">
        <f t="shared" si="1"/>
        <v>0</v>
      </c>
      <c r="M30" s="224"/>
      <c r="N30" s="224" t="str">
        <f t="shared" si="9"/>
        <v>#DIV/0!</v>
      </c>
      <c r="O30" s="224" t="str">
        <f t="shared" ref="O30:O33" si="10">L30/sum(L$30:L$33)</f>
        <v>#DIV/0!</v>
      </c>
      <c r="R30" s="222">
        <f>sumifs('25.06'!$H$7:$H$162,'25.06'!$I$7:$I$162,$B30,'25.06'!$J$7:$J$162,R$3)</f>
        <v>0</v>
      </c>
      <c r="S30" s="222">
        <f>sumifs('25.06'!$H$7:$H$162,'25.06'!$I$7:$I$162,$B30,'25.06'!$J$7:$J$162,S$3)</f>
        <v>0</v>
      </c>
      <c r="T30" s="222">
        <f>sumifs('25.06'!$H$7:$H$162,'25.06'!$I$7:$I$162,$B30,'25.06'!$J$7:$J$162,T$3)</f>
        <v>0</v>
      </c>
      <c r="U30" s="222">
        <f>sumifs('25.06'!$H$7:$H$162,'25.06'!$I$7:$I$162,$B30,'25.06'!$J$7:$J$162,U$3)</f>
        <v>0</v>
      </c>
      <c r="V30" s="222">
        <f>sumifs('25.06'!$H$7:$H$162,'25.06'!$I$7:$I$162,$B30,'25.06'!$J$7:$J$162,V$3)</f>
        <v>0</v>
      </c>
      <c r="W30" s="222">
        <f>sumifs('25.06'!$H$7:$H$162,'25.06'!$I$7:$I$162,$B30,'25.06'!$J$7:$J$162,W$3)</f>
        <v>0</v>
      </c>
      <c r="X30" s="222">
        <f>sumifs('25.06'!$H$7:$H$162,'25.06'!$I$7:$I$162,$B30,'25.06'!$J$7:$J$162,X$3)</f>
        <v>0</v>
      </c>
      <c r="Y30" s="222">
        <f>sumifs('25.06'!$H$7:$H$162,'25.06'!$I$7:$I$162,$B30,'25.06'!$J$7:$J$162,Y$3)</f>
        <v>0</v>
      </c>
      <c r="Z30" s="222">
        <f>sumifs('25.06'!$H$7:$H$162,'25.06'!$I$7:$I$162,$B30,'25.06'!$J$7:$J$162,Z$3)</f>
        <v>0</v>
      </c>
      <c r="AA30" s="223">
        <f t="shared" si="8"/>
        <v>0</v>
      </c>
    </row>
    <row r="31">
      <c r="A31" s="225" t="s">
        <v>84</v>
      </c>
      <c r="B31" s="212" t="s">
        <v>85</v>
      </c>
      <c r="C31" s="213">
        <f>sumifs('25.06'!$H$7:$H$162,'25.06'!$G$7:$G$162,$B31,'25.06'!$F$7:$F$162,C$3)</f>
        <v>0</v>
      </c>
      <c r="D31" s="213">
        <f>sumifs('25.06'!$H$7:$H$162,'25.06'!$G$7:$G$162,$B31,'25.06'!$F$7:$F$162,D$3)</f>
        <v>0</v>
      </c>
      <c r="E31" s="213">
        <f>sumifs('25.06'!$H$7:$H$162,'25.06'!$G$7:$G$162,$B31,'25.06'!$F$7:$F$162,E$3)</f>
        <v>0</v>
      </c>
      <c r="F31" s="213">
        <f>sumifs('25.06'!$H$7:$H$162,'25.06'!$G$7:$G$162,$B31,'25.06'!$F$7:$F$162,F$3)</f>
        <v>0</v>
      </c>
      <c r="G31" s="213">
        <f>sumifs('25.06'!$H$7:$H$162,'25.06'!$G$7:$G$162,$B31,'25.06'!$F$7:$F$162,G$3)</f>
        <v>0</v>
      </c>
      <c r="H31" s="213">
        <f>sumifs('25.06'!$H$7:$H$162,'25.06'!$G$7:$G$162,$B31,'25.06'!$F$7:$F$162,H$3)</f>
        <v>0</v>
      </c>
      <c r="I31" s="213">
        <f>sumifs('25.06'!$H$7:$H$162,'25.06'!$G$7:$G$162,$B31,'25.06'!$F$7:$F$162,I$3)</f>
        <v>0</v>
      </c>
      <c r="J31" s="213">
        <f>sumifs('25.06'!$H$7:$H$162,'25.06'!$G$7:$G$162,$B31,'25.06'!$F$7:$F$162,J$3)</f>
        <v>0</v>
      </c>
      <c r="K31" s="213">
        <f>sumifs('25.06'!$H$7:$H$162,'25.06'!$G$7:$G$162,$B31,'25.06'!$F$7:$F$162,K$3)</f>
        <v>0</v>
      </c>
      <c r="L31" s="214">
        <f t="shared" si="1"/>
        <v>0</v>
      </c>
      <c r="M31" s="215"/>
      <c r="N31" s="215" t="str">
        <f t="shared" si="9"/>
        <v>#DIV/0!</v>
      </c>
      <c r="O31" s="224" t="str">
        <f t="shared" si="10"/>
        <v>#DIV/0!</v>
      </c>
      <c r="R31" s="213">
        <f>sumifs('25.06'!$H$7:$H$162,'25.06'!$I$7:$I$162,$B31,'25.06'!$J$7:$J$162,R$3)</f>
        <v>0</v>
      </c>
      <c r="S31" s="213">
        <f>sumifs('25.06'!$H$7:$H$162,'25.06'!$I$7:$I$162,$B31,'25.06'!$J$7:$J$162,S$3)</f>
        <v>0</v>
      </c>
      <c r="T31" s="213">
        <f>sumifs('25.06'!$H$7:$H$162,'25.06'!$I$7:$I$162,$B31,'25.06'!$J$7:$J$162,T$3)</f>
        <v>0</v>
      </c>
      <c r="U31" s="213">
        <f>sumifs('25.06'!$H$7:$H$162,'25.06'!$I$7:$I$162,$B31,'25.06'!$J$7:$J$162,U$3)</f>
        <v>0</v>
      </c>
      <c r="V31" s="213">
        <f>sumifs('25.06'!$H$7:$H$162,'25.06'!$I$7:$I$162,$B31,'25.06'!$J$7:$J$162,V$3)</f>
        <v>0</v>
      </c>
      <c r="W31" s="213">
        <f>sumifs('25.06'!$H$7:$H$162,'25.06'!$I$7:$I$162,$B31,'25.06'!$J$7:$J$162,W$3)</f>
        <v>0</v>
      </c>
      <c r="X31" s="213">
        <f>sumifs('25.06'!$H$7:$H$162,'25.06'!$I$7:$I$162,$B31,'25.06'!$J$7:$J$162,X$3)</f>
        <v>0</v>
      </c>
      <c r="Y31" s="213">
        <f>sumifs('25.06'!$H$7:$H$162,'25.06'!$I$7:$I$162,$B31,'25.06'!$J$7:$J$162,Y$3)</f>
        <v>0</v>
      </c>
      <c r="Z31" s="213">
        <f>sumifs('25.06'!$H$7:$H$162,'25.06'!$I$7:$I$162,$B31,'25.06'!$J$7:$J$162,Z$3)</f>
        <v>0</v>
      </c>
      <c r="AA31" s="214">
        <f t="shared" si="8"/>
        <v>0</v>
      </c>
    </row>
    <row r="32">
      <c r="A32" s="225" t="s">
        <v>86</v>
      </c>
      <c r="B32" s="212" t="s">
        <v>87</v>
      </c>
      <c r="C32" s="213">
        <f>sumifs('25.06'!$H$7:$H$162,'25.06'!$G$7:$G$162,$B32,'25.06'!$F$7:$F$162,C$3)</f>
        <v>0</v>
      </c>
      <c r="D32" s="213">
        <f>sumifs('25.06'!$H$7:$H$162,'25.06'!$G$7:$G$162,$B32,'25.06'!$F$7:$F$162,D$3)</f>
        <v>0</v>
      </c>
      <c r="E32" s="213">
        <f>sumifs('25.06'!$H$7:$H$162,'25.06'!$G$7:$G$162,$B32,'25.06'!$F$7:$F$162,E$3)</f>
        <v>0</v>
      </c>
      <c r="F32" s="213">
        <f>sumifs('25.06'!$H$7:$H$162,'25.06'!$G$7:$G$162,$B32,'25.06'!$F$7:$F$162,F$3)</f>
        <v>0</v>
      </c>
      <c r="G32" s="213">
        <f>sumifs('25.06'!$H$7:$H$162,'25.06'!$G$7:$G$162,$B32,'25.06'!$F$7:$F$162,G$3)</f>
        <v>0</v>
      </c>
      <c r="H32" s="213">
        <f>sumifs('25.06'!$H$7:$H$162,'25.06'!$G$7:$G$162,$B32,'25.06'!$F$7:$F$162,H$3)</f>
        <v>0</v>
      </c>
      <c r="I32" s="213">
        <f>sumifs('25.06'!$H$7:$H$162,'25.06'!$G$7:$G$162,$B32,'25.06'!$F$7:$F$162,I$3)</f>
        <v>0</v>
      </c>
      <c r="J32" s="213">
        <f>sumifs('25.06'!$H$7:$H$162,'25.06'!$G$7:$G$162,$B32,'25.06'!$F$7:$F$162,J$3)</f>
        <v>0</v>
      </c>
      <c r="K32" s="213">
        <f>sumifs('25.06'!$H$7:$H$162,'25.06'!$G$7:$G$162,$B32,'25.06'!$F$7:$F$162,K$3)</f>
        <v>0</v>
      </c>
      <c r="L32" s="214">
        <f t="shared" si="1"/>
        <v>0</v>
      </c>
      <c r="M32" s="215"/>
      <c r="N32" s="215" t="str">
        <f t="shared" si="9"/>
        <v>#DIV/0!</v>
      </c>
      <c r="O32" s="224" t="str">
        <f t="shared" si="10"/>
        <v>#DIV/0!</v>
      </c>
      <c r="R32" s="213">
        <f>sumifs('25.06'!$H$7:$H$162,'25.06'!$I$7:$I$162,$B32,'25.06'!$J$7:$J$162,R$3)</f>
        <v>0</v>
      </c>
      <c r="S32" s="213">
        <f>sumifs('25.06'!$H$7:$H$162,'25.06'!$I$7:$I$162,$B32,'25.06'!$J$7:$J$162,S$3)</f>
        <v>0</v>
      </c>
      <c r="T32" s="213">
        <f>sumifs('25.06'!$H$7:$H$162,'25.06'!$I$7:$I$162,$B32,'25.06'!$J$7:$J$162,T$3)</f>
        <v>0</v>
      </c>
      <c r="U32" s="213">
        <f>sumifs('25.06'!$H$7:$H$162,'25.06'!$I$7:$I$162,$B32,'25.06'!$J$7:$J$162,U$3)</f>
        <v>0</v>
      </c>
      <c r="V32" s="213">
        <f>sumifs('25.06'!$H$7:$H$162,'25.06'!$I$7:$I$162,$B32,'25.06'!$J$7:$J$162,V$3)</f>
        <v>0</v>
      </c>
      <c r="W32" s="213">
        <f>sumifs('25.06'!$H$7:$H$162,'25.06'!$I$7:$I$162,$B32,'25.06'!$J$7:$J$162,W$3)</f>
        <v>0</v>
      </c>
      <c r="X32" s="213">
        <f>sumifs('25.06'!$H$7:$H$162,'25.06'!$I$7:$I$162,$B32,'25.06'!$J$7:$J$162,X$3)</f>
        <v>0</v>
      </c>
      <c r="Y32" s="213">
        <f>sumifs('25.06'!$H$7:$H$162,'25.06'!$I$7:$I$162,$B32,'25.06'!$J$7:$J$162,Y$3)</f>
        <v>0</v>
      </c>
      <c r="Z32" s="213">
        <f>sumifs('25.06'!$H$7:$H$162,'25.06'!$I$7:$I$162,$B32,'25.06'!$J$7:$J$162,Z$3)</f>
        <v>0</v>
      </c>
      <c r="AA32" s="214">
        <f t="shared" si="8"/>
        <v>0</v>
      </c>
    </row>
    <row r="33">
      <c r="A33" s="226" t="s">
        <v>88</v>
      </c>
      <c r="B33" s="227" t="s">
        <v>89</v>
      </c>
      <c r="C33" s="228">
        <f>sumifs('25.06'!$H$7:$H$162,'25.06'!$G$7:$G$162,$B33,'25.06'!$F$7:$F$162,C$3)</f>
        <v>0</v>
      </c>
      <c r="D33" s="228">
        <f>sumifs('25.06'!$H$7:$H$162,'25.06'!$G$7:$G$162,$B33,'25.06'!$F$7:$F$162,D$3)</f>
        <v>0</v>
      </c>
      <c r="E33" s="228">
        <f>sumifs('25.06'!$H$7:$H$162,'25.06'!$G$7:$G$162,$B33,'25.06'!$F$7:$F$162,E$3)</f>
        <v>0</v>
      </c>
      <c r="F33" s="228">
        <f>sumifs('25.06'!$H$7:$H$162,'25.06'!$G$7:$G$162,$B33,'25.06'!$F$7:$F$162,F$3)</f>
        <v>0</v>
      </c>
      <c r="G33" s="228">
        <f>sumifs('25.06'!$H$7:$H$162,'25.06'!$G$7:$G$162,$B33,'25.06'!$F$7:$F$162,G$3)</f>
        <v>0</v>
      </c>
      <c r="H33" s="228">
        <f>sumifs('25.06'!$H$7:$H$162,'25.06'!$G$7:$G$162,$B33,'25.06'!$F$7:$F$162,H$3)</f>
        <v>0</v>
      </c>
      <c r="I33" s="228">
        <f>sumifs('25.06'!$H$7:$H$162,'25.06'!$G$7:$G$162,$B33,'25.06'!$F$7:$F$162,I$3)</f>
        <v>0</v>
      </c>
      <c r="J33" s="228">
        <f>sumifs('25.06'!$H$7:$H$162,'25.06'!$G$7:$G$162,$B33,'25.06'!$F$7:$F$162,J$3)</f>
        <v>0</v>
      </c>
      <c r="K33" s="228">
        <f>sumifs('25.06'!$H$7:$H$162,'25.06'!$G$7:$G$162,$B33,'25.06'!$F$7:$F$162,K$3)</f>
        <v>0</v>
      </c>
      <c r="L33" s="229">
        <f t="shared" si="1"/>
        <v>0</v>
      </c>
      <c r="M33" s="230"/>
      <c r="N33" s="230" t="str">
        <f t="shared" si="9"/>
        <v>#DIV/0!</v>
      </c>
      <c r="O33" s="231" t="str">
        <f t="shared" si="10"/>
        <v>#DIV/0!</v>
      </c>
      <c r="R33" s="228">
        <f>sumifs('25.06'!$H$7:$H$162,'25.06'!$I$7:$I$162,$B33,'25.06'!$J$7:$J$162,R$3)</f>
        <v>0</v>
      </c>
      <c r="S33" s="228">
        <f>sumifs('25.06'!$H$7:$H$162,'25.06'!$I$7:$I$162,$B33,'25.06'!$J$7:$J$162,S$3)</f>
        <v>0</v>
      </c>
      <c r="T33" s="228">
        <f>sumifs('25.06'!$H$7:$H$162,'25.06'!$I$7:$I$162,$B33,'25.06'!$J$7:$J$162,T$3)</f>
        <v>0</v>
      </c>
      <c r="U33" s="228">
        <f>sumifs('25.06'!$H$7:$H$162,'25.06'!$I$7:$I$162,$B33,'25.06'!$J$7:$J$162,U$3)</f>
        <v>0</v>
      </c>
      <c r="V33" s="228">
        <f>sumifs('25.06'!$H$7:$H$162,'25.06'!$I$7:$I$162,$B33,'25.06'!$J$7:$J$162,V$3)</f>
        <v>0</v>
      </c>
      <c r="W33" s="228">
        <f>sumifs('25.06'!$H$7:$H$162,'25.06'!$I$7:$I$162,$B33,'25.06'!$J$7:$J$162,W$3)</f>
        <v>0</v>
      </c>
      <c r="X33" s="228">
        <f>sumifs('25.06'!$H$7:$H$162,'25.06'!$I$7:$I$162,$B33,'25.06'!$J$7:$J$162,X$3)</f>
        <v>0</v>
      </c>
      <c r="Y33" s="228">
        <f>sumifs('25.06'!$H$7:$H$162,'25.06'!$I$7:$I$162,$B33,'25.06'!$J$7:$J$162,Y$3)</f>
        <v>0</v>
      </c>
      <c r="Z33" s="228">
        <f>sumifs('25.06'!$H$7:$H$162,'25.06'!$I$7:$I$162,$B33,'25.06'!$J$7:$J$162,Z$3)</f>
        <v>0</v>
      </c>
      <c r="AA33" s="229">
        <f t="shared" si="8"/>
        <v>0</v>
      </c>
    </row>
    <row r="34">
      <c r="A34" s="232">
        <v>44962.0</v>
      </c>
      <c r="B34" s="233" t="s">
        <v>90</v>
      </c>
      <c r="C34" s="234">
        <f>sumifs('25.06'!$H$7:$H$162,'25.06'!$G$7:$G$162,$B34,'25.06'!$F$7:$F$162,C$3)</f>
        <v>0</v>
      </c>
      <c r="D34" s="234">
        <f>sumifs('25.06'!$H$7:$H$162,'25.06'!$G$7:$G$162,$B34,'25.06'!$F$7:$F$162,D$3)</f>
        <v>0</v>
      </c>
      <c r="E34" s="234">
        <f>sumifs('25.06'!$H$7:$H$162,'25.06'!$G$7:$G$162,$B34,'25.06'!$F$7:$F$162,E$3)</f>
        <v>0</v>
      </c>
      <c r="F34" s="234">
        <f>sumifs('25.06'!$H$7:$H$162,'25.06'!$G$7:$G$162,$B34,'25.06'!$F$7:$F$162,F$3)</f>
        <v>0</v>
      </c>
      <c r="G34" s="234">
        <f>sumifs('25.06'!$H$7:$H$162,'25.06'!$G$7:$G$162,$B34,'25.06'!$F$7:$F$162,G$3)</f>
        <v>0</v>
      </c>
      <c r="H34" s="234">
        <f>sumifs('25.06'!$H$7:$H$162,'25.06'!$G$7:$G$162,$B34,'25.06'!$F$7:$F$162,H$3)</f>
        <v>0</v>
      </c>
      <c r="I34" s="234">
        <f>sumifs('25.06'!$H$7:$H$162,'25.06'!$G$7:$G$162,$B34,'25.06'!$F$7:$F$162,I$3)</f>
        <v>0</v>
      </c>
      <c r="J34" s="234">
        <f>sumifs('25.06'!$H$7:$H$162,'25.06'!$G$7:$G$162,$B34,'25.06'!$F$7:$F$162,J$3)</f>
        <v>0</v>
      </c>
      <c r="K34" s="234">
        <f>sumifs('25.06'!$H$7:$H$162,'25.06'!$G$7:$G$162,$B34,'25.06'!$F$7:$F$162,K$3)</f>
        <v>0</v>
      </c>
      <c r="L34" s="223">
        <f t="shared" si="1"/>
        <v>0</v>
      </c>
      <c r="M34" s="224"/>
      <c r="N34" s="224" t="str">
        <f t="shared" si="9"/>
        <v>#DIV/0!</v>
      </c>
      <c r="O34" s="224" t="str">
        <f t="shared" ref="O34:O38" si="11">L34/sum(L$34:L$38)</f>
        <v>#DIV/0!</v>
      </c>
      <c r="R34" s="234">
        <f>sumifs('25.06'!$H$7:$H$162,'25.06'!$I$7:$I$162,$B34,'25.06'!$J$7:$J$162,R$3)</f>
        <v>0</v>
      </c>
      <c r="S34" s="234">
        <f>sumifs('25.06'!$H$7:$H$162,'25.06'!$I$7:$I$162,$B34,'25.06'!$J$7:$J$162,S$3)</f>
        <v>0</v>
      </c>
      <c r="T34" s="234">
        <f>sumifs('25.06'!$H$7:$H$162,'25.06'!$I$7:$I$162,$B34,'25.06'!$J$7:$J$162,T$3)</f>
        <v>0</v>
      </c>
      <c r="U34" s="234">
        <f>sumifs('25.06'!$H$7:$H$162,'25.06'!$I$7:$I$162,$B34,'25.06'!$J$7:$J$162,U$3)</f>
        <v>0</v>
      </c>
      <c r="V34" s="234">
        <f>sumifs('25.06'!$H$7:$H$162,'25.06'!$I$7:$I$162,$B34,'25.06'!$J$7:$J$162,V$3)</f>
        <v>0</v>
      </c>
      <c r="W34" s="234">
        <f>sumifs('25.06'!$H$7:$H$162,'25.06'!$I$7:$I$162,$B34,'25.06'!$J$7:$J$162,W$3)</f>
        <v>0</v>
      </c>
      <c r="X34" s="234">
        <f>sumifs('25.06'!$H$7:$H$162,'25.06'!$I$7:$I$162,$B34,'25.06'!$J$7:$J$162,X$3)</f>
        <v>0</v>
      </c>
      <c r="Y34" s="234">
        <f>sumifs('25.06'!$H$7:$H$162,'25.06'!$I$7:$I$162,$B34,'25.06'!$J$7:$J$162,Y$3)</f>
        <v>0</v>
      </c>
      <c r="Z34" s="234">
        <f>sumifs('25.06'!$H$7:$H$162,'25.06'!$I$7:$I$162,$B34,'25.06'!$J$7:$J$162,Z$3)</f>
        <v>0</v>
      </c>
      <c r="AA34" s="223">
        <f t="shared" si="8"/>
        <v>0</v>
      </c>
    </row>
    <row r="35">
      <c r="A35" s="225" t="s">
        <v>91</v>
      </c>
      <c r="B35" s="212" t="s">
        <v>92</v>
      </c>
      <c r="C35" s="213">
        <f>sumifs('25.06'!$H$7:$H$162,'25.06'!$G$7:$G$162,$B35,'25.06'!$F$7:$F$162,C$3)</f>
        <v>0</v>
      </c>
      <c r="D35" s="213">
        <f>sumifs('25.06'!$H$7:$H$162,'25.06'!$G$7:$G$162,$B35,'25.06'!$F$7:$F$162,D$3)</f>
        <v>0</v>
      </c>
      <c r="E35" s="213">
        <f>sumifs('25.06'!$H$7:$H$162,'25.06'!$G$7:$G$162,$B35,'25.06'!$F$7:$F$162,E$3)</f>
        <v>0</v>
      </c>
      <c r="F35" s="213">
        <f>sumifs('25.06'!$H$7:$H$162,'25.06'!$G$7:$G$162,$B35,'25.06'!$F$7:$F$162,F$3)</f>
        <v>0</v>
      </c>
      <c r="G35" s="213">
        <f>sumifs('25.06'!$H$7:$H$162,'25.06'!$G$7:$G$162,$B35,'25.06'!$F$7:$F$162,G$3)</f>
        <v>0</v>
      </c>
      <c r="H35" s="213">
        <f>sumifs('25.06'!$H$7:$H$162,'25.06'!$G$7:$G$162,$B35,'25.06'!$F$7:$F$162,H$3)</f>
        <v>0</v>
      </c>
      <c r="I35" s="213">
        <f>sumifs('25.06'!$H$7:$H$162,'25.06'!$G$7:$G$162,$B35,'25.06'!$F$7:$F$162,I$3)</f>
        <v>0</v>
      </c>
      <c r="J35" s="213">
        <f>sumifs('25.06'!$H$7:$H$162,'25.06'!$G$7:$G$162,$B35,'25.06'!$F$7:$F$162,J$3)</f>
        <v>0</v>
      </c>
      <c r="K35" s="213">
        <f>sumifs('25.06'!$H$7:$H$162,'25.06'!$G$7:$G$162,$B35,'25.06'!$F$7:$F$162,K$3)</f>
        <v>0</v>
      </c>
      <c r="L35" s="214">
        <f t="shared" si="1"/>
        <v>0</v>
      </c>
      <c r="M35" s="215"/>
      <c r="N35" s="215" t="str">
        <f t="shared" si="9"/>
        <v>#DIV/0!</v>
      </c>
      <c r="O35" s="224" t="str">
        <f t="shared" si="11"/>
        <v>#DIV/0!</v>
      </c>
      <c r="R35" s="213">
        <f>sumifs('25.06'!$H$7:$H$162,'25.06'!$I$7:$I$162,$B35,'25.06'!$J$7:$J$162,R$3)</f>
        <v>0</v>
      </c>
      <c r="S35" s="213">
        <f>sumifs('25.06'!$H$7:$H$162,'25.06'!$I$7:$I$162,$B35,'25.06'!$J$7:$J$162,S$3)</f>
        <v>0</v>
      </c>
      <c r="T35" s="213">
        <f>sumifs('25.06'!$H$7:$H$162,'25.06'!$I$7:$I$162,$B35,'25.06'!$J$7:$J$162,T$3)</f>
        <v>0</v>
      </c>
      <c r="U35" s="213">
        <f>sumifs('25.06'!$H$7:$H$162,'25.06'!$I$7:$I$162,$B35,'25.06'!$J$7:$J$162,U$3)</f>
        <v>0</v>
      </c>
      <c r="V35" s="213">
        <f>sumifs('25.06'!$H$7:$H$162,'25.06'!$I$7:$I$162,$B35,'25.06'!$J$7:$J$162,V$3)</f>
        <v>0</v>
      </c>
      <c r="W35" s="213">
        <f>sumifs('25.06'!$H$7:$H$162,'25.06'!$I$7:$I$162,$B35,'25.06'!$J$7:$J$162,W$3)</f>
        <v>0</v>
      </c>
      <c r="X35" s="213">
        <f>sumifs('25.06'!$H$7:$H$162,'25.06'!$I$7:$I$162,$B35,'25.06'!$J$7:$J$162,X$3)</f>
        <v>0</v>
      </c>
      <c r="Y35" s="213">
        <f>sumifs('25.06'!$H$7:$H$162,'25.06'!$I$7:$I$162,$B35,'25.06'!$J$7:$J$162,Y$3)</f>
        <v>0</v>
      </c>
      <c r="Z35" s="213">
        <f>sumifs('25.06'!$H$7:$H$162,'25.06'!$I$7:$I$162,$B35,'25.06'!$J$7:$J$162,Z$3)</f>
        <v>0</v>
      </c>
      <c r="AA35" s="214">
        <f t="shared" si="8"/>
        <v>0</v>
      </c>
    </row>
    <row r="36">
      <c r="A36" s="225" t="s">
        <v>93</v>
      </c>
      <c r="B36" s="212" t="s">
        <v>94</v>
      </c>
      <c r="C36" s="213">
        <f>sumifs('25.06'!$H$7:$H$162,'25.06'!$G$7:$G$162,$B36,'25.06'!$F$7:$F$162,C$3)</f>
        <v>0</v>
      </c>
      <c r="D36" s="213">
        <f>sumifs('25.06'!$H$7:$H$162,'25.06'!$G$7:$G$162,$B36,'25.06'!$F$7:$F$162,D$3)</f>
        <v>0</v>
      </c>
      <c r="E36" s="213">
        <f>sumifs('25.06'!$H$7:$H$162,'25.06'!$G$7:$G$162,$B36,'25.06'!$F$7:$F$162,E$3)</f>
        <v>0</v>
      </c>
      <c r="F36" s="213">
        <f>sumifs('25.06'!$H$7:$H$162,'25.06'!$G$7:$G$162,$B36,'25.06'!$F$7:$F$162,F$3)</f>
        <v>0</v>
      </c>
      <c r="G36" s="213">
        <f>sumifs('25.06'!$H$7:$H$162,'25.06'!$G$7:$G$162,$B36,'25.06'!$F$7:$F$162,G$3)</f>
        <v>0</v>
      </c>
      <c r="H36" s="213">
        <f>sumifs('25.06'!$H$7:$H$162,'25.06'!$G$7:$G$162,$B36,'25.06'!$F$7:$F$162,H$3)</f>
        <v>0</v>
      </c>
      <c r="I36" s="213">
        <f>sumifs('25.06'!$H$7:$H$162,'25.06'!$G$7:$G$162,$B36,'25.06'!$F$7:$F$162,I$3)</f>
        <v>0</v>
      </c>
      <c r="J36" s="213">
        <f>sumifs('25.06'!$H$7:$H$162,'25.06'!$G$7:$G$162,$B36,'25.06'!$F$7:$F$162,J$3)</f>
        <v>0</v>
      </c>
      <c r="K36" s="213">
        <f>sumifs('25.06'!$H$7:$H$162,'25.06'!$G$7:$G$162,$B36,'25.06'!$F$7:$F$162,K$3)</f>
        <v>0</v>
      </c>
      <c r="L36" s="214">
        <f t="shared" si="1"/>
        <v>0</v>
      </c>
      <c r="M36" s="215"/>
      <c r="N36" s="215" t="str">
        <f t="shared" si="9"/>
        <v>#DIV/0!</v>
      </c>
      <c r="O36" s="224" t="str">
        <f t="shared" si="11"/>
        <v>#DIV/0!</v>
      </c>
      <c r="R36" s="213">
        <f>sumifs('25.06'!$H$7:$H$162,'25.06'!$I$7:$I$162,$B36,'25.06'!$J$7:$J$162,R$3)</f>
        <v>0</v>
      </c>
      <c r="S36" s="213">
        <f>sumifs('25.06'!$H$7:$H$162,'25.06'!$I$7:$I$162,$B36,'25.06'!$J$7:$J$162,S$3)</f>
        <v>0</v>
      </c>
      <c r="T36" s="213">
        <f>sumifs('25.06'!$H$7:$H$162,'25.06'!$I$7:$I$162,$B36,'25.06'!$J$7:$J$162,T$3)</f>
        <v>0</v>
      </c>
      <c r="U36" s="213">
        <f>sumifs('25.06'!$H$7:$H$162,'25.06'!$I$7:$I$162,$B36,'25.06'!$J$7:$J$162,U$3)</f>
        <v>0</v>
      </c>
      <c r="V36" s="213">
        <f>sumifs('25.06'!$H$7:$H$162,'25.06'!$I$7:$I$162,$B36,'25.06'!$J$7:$J$162,V$3)</f>
        <v>0</v>
      </c>
      <c r="W36" s="213">
        <f>sumifs('25.06'!$H$7:$H$162,'25.06'!$I$7:$I$162,$B36,'25.06'!$J$7:$J$162,W$3)</f>
        <v>0</v>
      </c>
      <c r="X36" s="213">
        <f>sumifs('25.06'!$H$7:$H$162,'25.06'!$I$7:$I$162,$B36,'25.06'!$J$7:$J$162,X$3)</f>
        <v>0</v>
      </c>
      <c r="Y36" s="213">
        <f>sumifs('25.06'!$H$7:$H$162,'25.06'!$I$7:$I$162,$B36,'25.06'!$J$7:$J$162,Y$3)</f>
        <v>0</v>
      </c>
      <c r="Z36" s="213">
        <f>sumifs('25.06'!$H$7:$H$162,'25.06'!$I$7:$I$162,$B36,'25.06'!$J$7:$J$162,Z$3)</f>
        <v>0</v>
      </c>
      <c r="AA36" s="214">
        <f t="shared" si="8"/>
        <v>0</v>
      </c>
    </row>
    <row r="37">
      <c r="A37" s="225" t="s">
        <v>95</v>
      </c>
      <c r="B37" s="212" t="s">
        <v>96</v>
      </c>
      <c r="C37" s="213">
        <f>sumifs('25.06'!$H$7:$H$162,'25.06'!$G$7:$G$162,$B37,'25.06'!$F$7:$F$162,C$3)</f>
        <v>0</v>
      </c>
      <c r="D37" s="213">
        <f>sumifs('25.06'!$H$7:$H$162,'25.06'!$G$7:$G$162,$B37,'25.06'!$F$7:$F$162,D$3)</f>
        <v>0</v>
      </c>
      <c r="E37" s="213">
        <f>sumifs('25.06'!$H$7:$H$162,'25.06'!$G$7:$G$162,$B37,'25.06'!$F$7:$F$162,E$3)</f>
        <v>0</v>
      </c>
      <c r="F37" s="213">
        <f>sumifs('25.06'!$H$7:$H$162,'25.06'!$G$7:$G$162,$B37,'25.06'!$F$7:$F$162,F$3)</f>
        <v>0</v>
      </c>
      <c r="G37" s="213">
        <f>sumifs('25.06'!$H$7:$H$162,'25.06'!$G$7:$G$162,$B37,'25.06'!$F$7:$F$162,G$3)</f>
        <v>0</v>
      </c>
      <c r="H37" s="213">
        <f>sumifs('25.06'!$H$7:$H$162,'25.06'!$G$7:$G$162,$B37,'25.06'!$F$7:$F$162,H$3)</f>
        <v>0</v>
      </c>
      <c r="I37" s="213">
        <f>sumifs('25.06'!$H$7:$H$162,'25.06'!$G$7:$G$162,$B37,'25.06'!$F$7:$F$162,I$3)</f>
        <v>0</v>
      </c>
      <c r="J37" s="213">
        <f>sumifs('25.06'!$H$7:$H$162,'25.06'!$G$7:$G$162,$B37,'25.06'!$F$7:$F$162,J$3)</f>
        <v>0</v>
      </c>
      <c r="K37" s="213">
        <f>sumifs('25.06'!$H$7:$H$162,'25.06'!$G$7:$G$162,$B37,'25.06'!$F$7:$F$162,K$3)</f>
        <v>0</v>
      </c>
      <c r="L37" s="214">
        <f t="shared" si="1"/>
        <v>0</v>
      </c>
      <c r="M37" s="215"/>
      <c r="N37" s="215" t="str">
        <f t="shared" si="9"/>
        <v>#DIV/0!</v>
      </c>
      <c r="O37" s="224" t="str">
        <f t="shared" si="11"/>
        <v>#DIV/0!</v>
      </c>
      <c r="R37" s="213">
        <f>sumifs('25.06'!$H$7:$H$162,'25.06'!$I$7:$I$162,$B37,'25.06'!$J$7:$J$162,R$3)</f>
        <v>0</v>
      </c>
      <c r="S37" s="213">
        <f>sumifs('25.06'!$H$7:$H$162,'25.06'!$I$7:$I$162,$B37,'25.06'!$J$7:$J$162,S$3)</f>
        <v>0</v>
      </c>
      <c r="T37" s="213">
        <f>sumifs('25.06'!$H$7:$H$162,'25.06'!$I$7:$I$162,$B37,'25.06'!$J$7:$J$162,T$3)</f>
        <v>0</v>
      </c>
      <c r="U37" s="213">
        <f>sumifs('25.06'!$H$7:$H$162,'25.06'!$I$7:$I$162,$B37,'25.06'!$J$7:$J$162,U$3)</f>
        <v>0</v>
      </c>
      <c r="V37" s="213">
        <f>sumifs('25.06'!$H$7:$H$162,'25.06'!$I$7:$I$162,$B37,'25.06'!$J$7:$J$162,V$3)</f>
        <v>0</v>
      </c>
      <c r="W37" s="213">
        <f>sumifs('25.06'!$H$7:$H$162,'25.06'!$I$7:$I$162,$B37,'25.06'!$J$7:$J$162,W$3)</f>
        <v>0</v>
      </c>
      <c r="X37" s="213">
        <f>sumifs('25.06'!$H$7:$H$162,'25.06'!$I$7:$I$162,$B37,'25.06'!$J$7:$J$162,X$3)</f>
        <v>0</v>
      </c>
      <c r="Y37" s="213">
        <f>sumifs('25.06'!$H$7:$H$162,'25.06'!$I$7:$I$162,$B37,'25.06'!$J$7:$J$162,Y$3)</f>
        <v>0</v>
      </c>
      <c r="Z37" s="213">
        <f>sumifs('25.06'!$H$7:$H$162,'25.06'!$I$7:$I$162,$B37,'25.06'!$J$7:$J$162,Z$3)</f>
        <v>0</v>
      </c>
      <c r="AA37" s="214">
        <f t="shared" si="8"/>
        <v>0</v>
      </c>
    </row>
    <row r="38">
      <c r="A38" s="226" t="s">
        <v>97</v>
      </c>
      <c r="B38" s="227" t="s">
        <v>98</v>
      </c>
      <c r="C38" s="228">
        <f>sumifs('25.06'!$H$7:$H$162,'25.06'!$G$7:$G$162,$B38,'25.06'!$F$7:$F$162,C$3)</f>
        <v>0</v>
      </c>
      <c r="D38" s="228">
        <f>sumifs('25.06'!$H$7:$H$162,'25.06'!$G$7:$G$162,$B38,'25.06'!$F$7:$F$162,D$3)</f>
        <v>0</v>
      </c>
      <c r="E38" s="228">
        <f>sumifs('25.06'!$H$7:$H$162,'25.06'!$G$7:$G$162,$B38,'25.06'!$F$7:$F$162,E$3)</f>
        <v>0</v>
      </c>
      <c r="F38" s="228">
        <f>sumifs('25.06'!$H$7:$H$162,'25.06'!$G$7:$G$162,$B38,'25.06'!$F$7:$F$162,F$3)</f>
        <v>0</v>
      </c>
      <c r="G38" s="228">
        <f>sumifs('25.06'!$H$7:$H$162,'25.06'!$G$7:$G$162,$B38,'25.06'!$F$7:$F$162,G$3)</f>
        <v>0</v>
      </c>
      <c r="H38" s="228">
        <f>sumifs('25.06'!$H$7:$H$162,'25.06'!$G$7:$G$162,$B38,'25.06'!$F$7:$F$162,H$3)</f>
        <v>0</v>
      </c>
      <c r="I38" s="228">
        <f>sumifs('25.06'!$H$7:$H$162,'25.06'!$G$7:$G$162,$B38,'25.06'!$F$7:$F$162,I$3)</f>
        <v>0</v>
      </c>
      <c r="J38" s="228">
        <f>sumifs('25.06'!$H$7:$H$162,'25.06'!$G$7:$G$162,$B38,'25.06'!$F$7:$F$162,J$3)</f>
        <v>0</v>
      </c>
      <c r="K38" s="228">
        <f>sumifs('25.06'!$H$7:$H$162,'25.06'!$G$7:$G$162,$B38,'25.06'!$F$7:$F$162,K$3)</f>
        <v>0</v>
      </c>
      <c r="L38" s="229">
        <f t="shared" si="1"/>
        <v>0</v>
      </c>
      <c r="M38" s="230"/>
      <c r="N38" s="230" t="str">
        <f t="shared" si="9"/>
        <v>#DIV/0!</v>
      </c>
      <c r="O38" s="231" t="str">
        <f t="shared" si="11"/>
        <v>#DIV/0!</v>
      </c>
      <c r="R38" s="228">
        <f>sumifs('25.06'!$H$7:$H$162,'25.06'!$I$7:$I$162,$B38,'25.06'!$J$7:$J$162,R$3)</f>
        <v>0</v>
      </c>
      <c r="S38" s="228">
        <f>sumifs('25.06'!$H$7:$H$162,'25.06'!$I$7:$I$162,$B38,'25.06'!$J$7:$J$162,S$3)</f>
        <v>0</v>
      </c>
      <c r="T38" s="228">
        <f>sumifs('25.06'!$H$7:$H$162,'25.06'!$I$7:$I$162,$B38,'25.06'!$J$7:$J$162,T$3)</f>
        <v>0</v>
      </c>
      <c r="U38" s="228">
        <f>sumifs('25.06'!$H$7:$H$162,'25.06'!$I$7:$I$162,$B38,'25.06'!$J$7:$J$162,U$3)</f>
        <v>0</v>
      </c>
      <c r="V38" s="228">
        <f>sumifs('25.06'!$H$7:$H$162,'25.06'!$I$7:$I$162,$B38,'25.06'!$J$7:$J$162,V$3)</f>
        <v>0</v>
      </c>
      <c r="W38" s="228">
        <f>sumifs('25.06'!$H$7:$H$162,'25.06'!$I$7:$I$162,$B38,'25.06'!$J$7:$J$162,W$3)</f>
        <v>0</v>
      </c>
      <c r="X38" s="228">
        <f>sumifs('25.06'!$H$7:$H$162,'25.06'!$I$7:$I$162,$B38,'25.06'!$J$7:$J$162,X$3)</f>
        <v>0</v>
      </c>
      <c r="Y38" s="228">
        <f>sumifs('25.06'!$H$7:$H$162,'25.06'!$I$7:$I$162,$B38,'25.06'!$J$7:$J$162,Y$3)</f>
        <v>0</v>
      </c>
      <c r="Z38" s="228">
        <f>sumifs('25.06'!$H$7:$H$162,'25.06'!$I$7:$I$162,$B38,'25.06'!$J$7:$J$162,Z$3)</f>
        <v>0</v>
      </c>
      <c r="AA38" s="229">
        <f t="shared" si="8"/>
        <v>0</v>
      </c>
    </row>
    <row r="39">
      <c r="A39" s="232">
        <v>44990.0</v>
      </c>
      <c r="B39" s="233" t="s">
        <v>99</v>
      </c>
      <c r="C39" s="234">
        <f>sumifs('25.06'!$H$7:$H$162,'25.06'!$G$7:$G$162,$B39,'25.06'!$F$7:$F$162,C$3)</f>
        <v>0</v>
      </c>
      <c r="D39" s="234">
        <f>sumifs('25.06'!$H$7:$H$162,'25.06'!$G$7:$G$162,$B39,'25.06'!$F$7:$F$162,D$3)</f>
        <v>0</v>
      </c>
      <c r="E39" s="234">
        <f>sumifs('25.06'!$H$7:$H$162,'25.06'!$G$7:$G$162,$B39,'25.06'!$F$7:$F$162,E$3)</f>
        <v>0</v>
      </c>
      <c r="F39" s="234">
        <f>sumifs('25.06'!$H$7:$H$162,'25.06'!$G$7:$G$162,$B39,'25.06'!$F$7:$F$162,F$3)</f>
        <v>0</v>
      </c>
      <c r="G39" s="234">
        <f>sumifs('25.06'!$H$7:$H$162,'25.06'!$G$7:$G$162,$B39,'25.06'!$F$7:$F$162,G$3)</f>
        <v>0</v>
      </c>
      <c r="H39" s="234">
        <f>sumifs('25.06'!$H$7:$H$162,'25.06'!$G$7:$G$162,$B39,'25.06'!$F$7:$F$162,H$3)</f>
        <v>0</v>
      </c>
      <c r="I39" s="234">
        <f>sumifs('25.06'!$H$7:$H$162,'25.06'!$G$7:$G$162,$B39,'25.06'!$F$7:$F$162,I$3)</f>
        <v>0</v>
      </c>
      <c r="J39" s="234">
        <f>sumifs('25.06'!$H$7:$H$162,'25.06'!$G$7:$G$162,$B39,'25.06'!$F$7:$F$162,J$3)</f>
        <v>0</v>
      </c>
      <c r="K39" s="234">
        <f>sumifs('25.06'!$H$7:$H$162,'25.06'!$G$7:$G$162,$B39,'25.06'!$F$7:$F$162,K$3)</f>
        <v>0</v>
      </c>
      <c r="L39" s="223">
        <f t="shared" si="1"/>
        <v>0</v>
      </c>
      <c r="M39" s="224"/>
      <c r="N39" s="224" t="str">
        <f t="shared" si="9"/>
        <v>#DIV/0!</v>
      </c>
      <c r="O39" s="224" t="str">
        <f t="shared" ref="O39:O43" si="12">L39/sum(L$39:L$43)</f>
        <v>#DIV/0!</v>
      </c>
      <c r="R39" s="234">
        <f>sumifs('25.06'!$H$7:$H$162,'25.06'!$I$7:$I$162,$B39,'25.06'!$J$7:$J$162,R$3)</f>
        <v>0</v>
      </c>
      <c r="S39" s="234">
        <f>sumifs('25.06'!$H$7:$H$162,'25.06'!$I$7:$I$162,$B39,'25.06'!$J$7:$J$162,S$3)</f>
        <v>0</v>
      </c>
      <c r="T39" s="234">
        <f>sumifs('25.06'!$H$7:$H$162,'25.06'!$I$7:$I$162,$B39,'25.06'!$J$7:$J$162,T$3)</f>
        <v>0</v>
      </c>
      <c r="U39" s="234">
        <f>sumifs('25.06'!$H$7:$H$162,'25.06'!$I$7:$I$162,$B39,'25.06'!$J$7:$J$162,U$3)</f>
        <v>0</v>
      </c>
      <c r="V39" s="234">
        <f>sumifs('25.06'!$H$7:$H$162,'25.06'!$I$7:$I$162,$B39,'25.06'!$J$7:$J$162,V$3)</f>
        <v>0</v>
      </c>
      <c r="W39" s="234">
        <f>sumifs('25.06'!$H$7:$H$162,'25.06'!$I$7:$I$162,$B39,'25.06'!$J$7:$J$162,W$3)</f>
        <v>0</v>
      </c>
      <c r="X39" s="234">
        <f>sumifs('25.06'!$H$7:$H$162,'25.06'!$I$7:$I$162,$B39,'25.06'!$J$7:$J$162,X$3)</f>
        <v>0</v>
      </c>
      <c r="Y39" s="234">
        <f>sumifs('25.06'!$H$7:$H$162,'25.06'!$I$7:$I$162,$B39,'25.06'!$J$7:$J$162,Y$3)</f>
        <v>0</v>
      </c>
      <c r="Z39" s="234">
        <f>sumifs('25.06'!$H$7:$H$162,'25.06'!$I$7:$I$162,$B39,'25.06'!$J$7:$J$162,Z$3)</f>
        <v>0</v>
      </c>
      <c r="AA39" s="223">
        <f t="shared" si="8"/>
        <v>0</v>
      </c>
    </row>
    <row r="40">
      <c r="A40" s="225" t="s">
        <v>100</v>
      </c>
      <c r="B40" s="212" t="s">
        <v>101</v>
      </c>
      <c r="C40" s="213">
        <f>sumifs('25.06'!$H$7:$H$162,'25.06'!$G$7:$G$162,$B40,'25.06'!$F$7:$F$162,C$3)</f>
        <v>0</v>
      </c>
      <c r="D40" s="213">
        <f>sumifs('25.06'!$H$7:$H$162,'25.06'!$G$7:$G$162,$B40,'25.06'!$F$7:$F$162,D$3)</f>
        <v>0</v>
      </c>
      <c r="E40" s="213">
        <f>sumifs('25.06'!$H$7:$H$162,'25.06'!$G$7:$G$162,$B40,'25.06'!$F$7:$F$162,E$3)</f>
        <v>0</v>
      </c>
      <c r="F40" s="213">
        <f>sumifs('25.06'!$H$7:$H$162,'25.06'!$G$7:$G$162,$B40,'25.06'!$F$7:$F$162,F$3)</f>
        <v>0</v>
      </c>
      <c r="G40" s="213">
        <f>sumifs('25.06'!$H$7:$H$162,'25.06'!$G$7:$G$162,$B40,'25.06'!$F$7:$F$162,G$3)</f>
        <v>0</v>
      </c>
      <c r="H40" s="213">
        <f>sumifs('25.06'!$H$7:$H$162,'25.06'!$G$7:$G$162,$B40,'25.06'!$F$7:$F$162,H$3)</f>
        <v>0</v>
      </c>
      <c r="I40" s="213">
        <f>sumifs('25.06'!$H$7:$H$162,'25.06'!$G$7:$G$162,$B40,'25.06'!$F$7:$F$162,I$3)</f>
        <v>0</v>
      </c>
      <c r="J40" s="213">
        <f>sumifs('25.06'!$H$7:$H$162,'25.06'!$G$7:$G$162,$B40,'25.06'!$F$7:$F$162,J$3)</f>
        <v>0</v>
      </c>
      <c r="K40" s="213">
        <f>sumifs('25.06'!$H$7:$H$162,'25.06'!$G$7:$G$162,$B40,'25.06'!$F$7:$F$162,K$3)</f>
        <v>0</v>
      </c>
      <c r="L40" s="214">
        <f t="shared" si="1"/>
        <v>0</v>
      </c>
      <c r="M40" s="215"/>
      <c r="N40" s="215" t="str">
        <f t="shared" si="9"/>
        <v>#DIV/0!</v>
      </c>
      <c r="O40" s="224" t="str">
        <f t="shared" si="12"/>
        <v>#DIV/0!</v>
      </c>
      <c r="R40" s="213">
        <f>sumifs('25.06'!$H$7:$H$162,'25.06'!$I$7:$I$162,$B40,'25.06'!$J$7:$J$162,R$3)</f>
        <v>0</v>
      </c>
      <c r="S40" s="213">
        <f>sumifs('25.06'!$H$7:$H$162,'25.06'!$I$7:$I$162,$B40,'25.06'!$J$7:$J$162,S$3)</f>
        <v>0</v>
      </c>
      <c r="T40" s="213">
        <f>sumifs('25.06'!$H$7:$H$162,'25.06'!$I$7:$I$162,$B40,'25.06'!$J$7:$J$162,T$3)</f>
        <v>0</v>
      </c>
      <c r="U40" s="213">
        <f>sumifs('25.06'!$H$7:$H$162,'25.06'!$I$7:$I$162,$B40,'25.06'!$J$7:$J$162,U$3)</f>
        <v>0</v>
      </c>
      <c r="V40" s="213">
        <f>sumifs('25.06'!$H$7:$H$162,'25.06'!$I$7:$I$162,$B40,'25.06'!$J$7:$J$162,V$3)</f>
        <v>0</v>
      </c>
      <c r="W40" s="213">
        <f>sumifs('25.06'!$H$7:$H$162,'25.06'!$I$7:$I$162,$B40,'25.06'!$J$7:$J$162,W$3)</f>
        <v>0</v>
      </c>
      <c r="X40" s="213">
        <f>sumifs('25.06'!$H$7:$H$162,'25.06'!$I$7:$I$162,$B40,'25.06'!$J$7:$J$162,X$3)</f>
        <v>0</v>
      </c>
      <c r="Y40" s="213">
        <f>sumifs('25.06'!$H$7:$H$162,'25.06'!$I$7:$I$162,$B40,'25.06'!$J$7:$J$162,Y$3)</f>
        <v>0</v>
      </c>
      <c r="Z40" s="213">
        <f>sumifs('25.06'!$H$7:$H$162,'25.06'!$I$7:$I$162,$B40,'25.06'!$J$7:$J$162,Z$3)</f>
        <v>0</v>
      </c>
      <c r="AA40" s="214">
        <f t="shared" si="8"/>
        <v>0</v>
      </c>
    </row>
    <row r="41">
      <c r="A41" s="225" t="s">
        <v>102</v>
      </c>
      <c r="B41" s="212" t="s">
        <v>103</v>
      </c>
      <c r="C41" s="213">
        <f>sumifs('25.06'!$H$7:$H$162,'25.06'!$G$7:$G$162,$B41,'25.06'!$F$7:$F$162,C$3)</f>
        <v>0</v>
      </c>
      <c r="D41" s="213">
        <f>sumifs('25.06'!$H$7:$H$162,'25.06'!$G$7:$G$162,$B41,'25.06'!$F$7:$F$162,D$3)</f>
        <v>0</v>
      </c>
      <c r="E41" s="213">
        <f>sumifs('25.06'!$H$7:$H$162,'25.06'!$G$7:$G$162,$B41,'25.06'!$F$7:$F$162,E$3)</f>
        <v>0</v>
      </c>
      <c r="F41" s="213">
        <f>sumifs('25.06'!$H$7:$H$162,'25.06'!$G$7:$G$162,$B41,'25.06'!$F$7:$F$162,F$3)</f>
        <v>0</v>
      </c>
      <c r="G41" s="213">
        <f>sumifs('25.06'!$H$7:$H$162,'25.06'!$G$7:$G$162,$B41,'25.06'!$F$7:$F$162,G$3)</f>
        <v>0</v>
      </c>
      <c r="H41" s="213">
        <f>sumifs('25.06'!$H$7:$H$162,'25.06'!$G$7:$G$162,$B41,'25.06'!$F$7:$F$162,H$3)</f>
        <v>0</v>
      </c>
      <c r="I41" s="213">
        <f>sumifs('25.06'!$H$7:$H$162,'25.06'!$G$7:$G$162,$B41,'25.06'!$F$7:$F$162,I$3)</f>
        <v>0</v>
      </c>
      <c r="J41" s="213">
        <f>sumifs('25.06'!$H$7:$H$162,'25.06'!$G$7:$G$162,$B41,'25.06'!$F$7:$F$162,J$3)</f>
        <v>0</v>
      </c>
      <c r="K41" s="213">
        <f>sumifs('25.06'!$H$7:$H$162,'25.06'!$G$7:$G$162,$B41,'25.06'!$F$7:$F$162,K$3)</f>
        <v>0</v>
      </c>
      <c r="L41" s="214">
        <f t="shared" si="1"/>
        <v>0</v>
      </c>
      <c r="M41" s="215"/>
      <c r="N41" s="215" t="str">
        <f t="shared" si="9"/>
        <v>#DIV/0!</v>
      </c>
      <c r="O41" s="224" t="str">
        <f t="shared" si="12"/>
        <v>#DIV/0!</v>
      </c>
      <c r="R41" s="213">
        <f>sumifs('25.06'!$H$7:$H$162,'25.06'!$I$7:$I$162,$B41,'25.06'!$J$7:$J$162,R$3)</f>
        <v>0</v>
      </c>
      <c r="S41" s="213">
        <f>sumifs('25.06'!$H$7:$H$162,'25.06'!$I$7:$I$162,$B41,'25.06'!$J$7:$J$162,S$3)</f>
        <v>0</v>
      </c>
      <c r="T41" s="213">
        <f>sumifs('25.06'!$H$7:$H$162,'25.06'!$I$7:$I$162,$B41,'25.06'!$J$7:$J$162,T$3)</f>
        <v>0</v>
      </c>
      <c r="U41" s="213">
        <f>sumifs('25.06'!$H$7:$H$162,'25.06'!$I$7:$I$162,$B41,'25.06'!$J$7:$J$162,U$3)</f>
        <v>0</v>
      </c>
      <c r="V41" s="213">
        <f>sumifs('25.06'!$H$7:$H$162,'25.06'!$I$7:$I$162,$B41,'25.06'!$J$7:$J$162,V$3)</f>
        <v>0</v>
      </c>
      <c r="W41" s="213">
        <f>sumifs('25.06'!$H$7:$H$162,'25.06'!$I$7:$I$162,$B41,'25.06'!$J$7:$J$162,W$3)</f>
        <v>0</v>
      </c>
      <c r="X41" s="213">
        <f>sumifs('25.06'!$H$7:$H$162,'25.06'!$I$7:$I$162,$B41,'25.06'!$J$7:$J$162,X$3)</f>
        <v>0</v>
      </c>
      <c r="Y41" s="213">
        <f>sumifs('25.06'!$H$7:$H$162,'25.06'!$I$7:$I$162,$B41,'25.06'!$J$7:$J$162,Y$3)</f>
        <v>0</v>
      </c>
      <c r="Z41" s="213">
        <f>sumifs('25.06'!$H$7:$H$162,'25.06'!$I$7:$I$162,$B41,'25.06'!$J$7:$J$162,Z$3)</f>
        <v>0</v>
      </c>
      <c r="AA41" s="214">
        <f t="shared" si="8"/>
        <v>0</v>
      </c>
    </row>
    <row r="42">
      <c r="A42" s="225" t="s">
        <v>104</v>
      </c>
      <c r="B42" s="212" t="s">
        <v>105</v>
      </c>
      <c r="C42" s="213">
        <f>sumifs('25.06'!$H$7:$H$162,'25.06'!$G$7:$G$162,$B42,'25.06'!$F$7:$F$162,C$3)</f>
        <v>0</v>
      </c>
      <c r="D42" s="213">
        <f>sumifs('25.06'!$H$7:$H$162,'25.06'!$G$7:$G$162,$B42,'25.06'!$F$7:$F$162,D$3)</f>
        <v>0</v>
      </c>
      <c r="E42" s="213">
        <f>sumifs('25.06'!$H$7:$H$162,'25.06'!$G$7:$G$162,$B42,'25.06'!$F$7:$F$162,E$3)</f>
        <v>0</v>
      </c>
      <c r="F42" s="213">
        <f>sumifs('25.06'!$H$7:$H$162,'25.06'!$G$7:$G$162,$B42,'25.06'!$F$7:$F$162,F$3)</f>
        <v>0</v>
      </c>
      <c r="G42" s="213">
        <f>sumifs('25.06'!$H$7:$H$162,'25.06'!$G$7:$G$162,$B42,'25.06'!$F$7:$F$162,G$3)</f>
        <v>0</v>
      </c>
      <c r="H42" s="213">
        <f>sumifs('25.06'!$H$7:$H$162,'25.06'!$G$7:$G$162,$B42,'25.06'!$F$7:$F$162,H$3)</f>
        <v>0</v>
      </c>
      <c r="I42" s="213">
        <f>sumifs('25.06'!$H$7:$H$162,'25.06'!$G$7:$G$162,$B42,'25.06'!$F$7:$F$162,I$3)</f>
        <v>0</v>
      </c>
      <c r="J42" s="213">
        <f>sumifs('25.06'!$H$7:$H$162,'25.06'!$G$7:$G$162,$B42,'25.06'!$F$7:$F$162,J$3)</f>
        <v>0</v>
      </c>
      <c r="K42" s="213">
        <f>sumifs('25.06'!$H$7:$H$162,'25.06'!$G$7:$G$162,$B42,'25.06'!$F$7:$F$162,K$3)</f>
        <v>0</v>
      </c>
      <c r="L42" s="214">
        <f t="shared" si="1"/>
        <v>0</v>
      </c>
      <c r="M42" s="215"/>
      <c r="N42" s="215" t="str">
        <f t="shared" si="9"/>
        <v>#DIV/0!</v>
      </c>
      <c r="O42" s="224" t="str">
        <f t="shared" si="12"/>
        <v>#DIV/0!</v>
      </c>
      <c r="R42" s="213">
        <f>sumifs('25.06'!$H$7:$H$162,'25.06'!$I$7:$I$162,$B42,'25.06'!$J$7:$J$162,R$3)</f>
        <v>0</v>
      </c>
      <c r="S42" s="213">
        <f>sumifs('25.06'!$H$7:$H$162,'25.06'!$I$7:$I$162,$B42,'25.06'!$J$7:$J$162,S$3)</f>
        <v>0</v>
      </c>
      <c r="T42" s="213">
        <f>sumifs('25.06'!$H$7:$H$162,'25.06'!$I$7:$I$162,$B42,'25.06'!$J$7:$J$162,T$3)</f>
        <v>0</v>
      </c>
      <c r="U42" s="213">
        <f>sumifs('25.06'!$H$7:$H$162,'25.06'!$I$7:$I$162,$B42,'25.06'!$J$7:$J$162,U$3)</f>
        <v>0</v>
      </c>
      <c r="V42" s="213">
        <f>sumifs('25.06'!$H$7:$H$162,'25.06'!$I$7:$I$162,$B42,'25.06'!$J$7:$J$162,V$3)</f>
        <v>0</v>
      </c>
      <c r="W42" s="213">
        <f>sumifs('25.06'!$H$7:$H$162,'25.06'!$I$7:$I$162,$B42,'25.06'!$J$7:$J$162,W$3)</f>
        <v>0</v>
      </c>
      <c r="X42" s="213">
        <f>sumifs('25.06'!$H$7:$H$162,'25.06'!$I$7:$I$162,$B42,'25.06'!$J$7:$J$162,X$3)</f>
        <v>0</v>
      </c>
      <c r="Y42" s="213">
        <f>sumifs('25.06'!$H$7:$H$162,'25.06'!$I$7:$I$162,$B42,'25.06'!$J$7:$J$162,Y$3)</f>
        <v>0</v>
      </c>
      <c r="Z42" s="213">
        <f>sumifs('25.06'!$H$7:$H$162,'25.06'!$I$7:$I$162,$B42,'25.06'!$J$7:$J$162,Z$3)</f>
        <v>0</v>
      </c>
      <c r="AA42" s="214">
        <f t="shared" si="8"/>
        <v>0</v>
      </c>
    </row>
    <row r="43">
      <c r="A43" s="226" t="s">
        <v>106</v>
      </c>
      <c r="B43" s="227" t="s">
        <v>107</v>
      </c>
      <c r="C43" s="228">
        <f>sumifs('25.06'!$H$7:$H$162,'25.06'!$G$7:$G$162,$B43,'25.06'!$F$7:$F$162,C$3)</f>
        <v>0</v>
      </c>
      <c r="D43" s="228">
        <f>sumifs('25.06'!$H$7:$H$162,'25.06'!$G$7:$G$162,$B43,'25.06'!$F$7:$F$162,D$3)</f>
        <v>0</v>
      </c>
      <c r="E43" s="228">
        <f>sumifs('25.06'!$H$7:$H$162,'25.06'!$G$7:$G$162,$B43,'25.06'!$F$7:$F$162,E$3)</f>
        <v>0</v>
      </c>
      <c r="F43" s="228">
        <f>sumifs('25.06'!$H$7:$H$162,'25.06'!$G$7:$G$162,$B43,'25.06'!$F$7:$F$162,F$3)</f>
        <v>0</v>
      </c>
      <c r="G43" s="228">
        <f>sumifs('25.06'!$H$7:$H$162,'25.06'!$G$7:$G$162,$B43,'25.06'!$F$7:$F$162,G$3)</f>
        <v>0</v>
      </c>
      <c r="H43" s="228">
        <f>sumifs('25.06'!$H$7:$H$162,'25.06'!$G$7:$G$162,$B43,'25.06'!$F$7:$F$162,H$3)</f>
        <v>0</v>
      </c>
      <c r="I43" s="228">
        <f>sumifs('25.06'!$H$7:$H$162,'25.06'!$G$7:$G$162,$B43,'25.06'!$F$7:$F$162,I$3)</f>
        <v>0</v>
      </c>
      <c r="J43" s="228">
        <f>sumifs('25.06'!$H$7:$H$162,'25.06'!$G$7:$G$162,$B43,'25.06'!$F$7:$F$162,J$3)</f>
        <v>0</v>
      </c>
      <c r="K43" s="228">
        <f>sumifs('25.06'!$H$7:$H$162,'25.06'!$G$7:$G$162,$B43,'25.06'!$F$7:$F$162,K$3)</f>
        <v>0</v>
      </c>
      <c r="L43" s="229">
        <f t="shared" si="1"/>
        <v>0</v>
      </c>
      <c r="M43" s="230"/>
      <c r="N43" s="230" t="str">
        <f t="shared" si="9"/>
        <v>#DIV/0!</v>
      </c>
      <c r="O43" s="231" t="str">
        <f t="shared" si="12"/>
        <v>#DIV/0!</v>
      </c>
      <c r="R43" s="228">
        <f>sumifs('25.06'!$H$7:$H$162,'25.06'!$I$7:$I$162,$B43,'25.06'!$J$7:$J$162,R$3)</f>
        <v>0</v>
      </c>
      <c r="S43" s="228">
        <f>sumifs('25.06'!$H$7:$H$162,'25.06'!$I$7:$I$162,$B43,'25.06'!$J$7:$J$162,S$3)</f>
        <v>0</v>
      </c>
      <c r="T43" s="228">
        <f>sumifs('25.06'!$H$7:$H$162,'25.06'!$I$7:$I$162,$B43,'25.06'!$J$7:$J$162,T$3)</f>
        <v>0</v>
      </c>
      <c r="U43" s="228">
        <f>sumifs('25.06'!$H$7:$H$162,'25.06'!$I$7:$I$162,$B43,'25.06'!$J$7:$J$162,U$3)</f>
        <v>0</v>
      </c>
      <c r="V43" s="228">
        <f>sumifs('25.06'!$H$7:$H$162,'25.06'!$I$7:$I$162,$B43,'25.06'!$J$7:$J$162,V$3)</f>
        <v>0</v>
      </c>
      <c r="W43" s="228">
        <f>sumifs('25.06'!$H$7:$H$162,'25.06'!$I$7:$I$162,$B43,'25.06'!$J$7:$J$162,W$3)</f>
        <v>0</v>
      </c>
      <c r="X43" s="228">
        <f>sumifs('25.06'!$H$7:$H$162,'25.06'!$I$7:$I$162,$B43,'25.06'!$J$7:$J$162,X$3)</f>
        <v>0</v>
      </c>
      <c r="Y43" s="228">
        <f>sumifs('25.06'!$H$7:$H$162,'25.06'!$I$7:$I$162,$B43,'25.06'!$J$7:$J$162,Y$3)</f>
        <v>0</v>
      </c>
      <c r="Z43" s="228">
        <f>sumifs('25.06'!$H$7:$H$162,'25.06'!$I$7:$I$162,$B43,'25.06'!$J$7:$J$162,Z$3)</f>
        <v>0</v>
      </c>
      <c r="AA43" s="229">
        <f t="shared" si="8"/>
        <v>0</v>
      </c>
    </row>
    <row r="44">
      <c r="A44" s="232">
        <v>45021.0</v>
      </c>
      <c r="B44" s="233" t="s">
        <v>108</v>
      </c>
      <c r="C44" s="234">
        <f>sumifs('25.06'!$H$7:$H$162,'25.06'!$G$7:$G$162,$B44,'25.06'!$F$7:$F$162,C$3)</f>
        <v>0</v>
      </c>
      <c r="D44" s="234">
        <f>sumifs('25.06'!$H$7:$H$162,'25.06'!$G$7:$G$162,$B44,'25.06'!$F$7:$F$162,D$3)</f>
        <v>0</v>
      </c>
      <c r="E44" s="234">
        <f>sumifs('25.06'!$H$7:$H$162,'25.06'!$G$7:$G$162,$B44,'25.06'!$F$7:$F$162,E$3)</f>
        <v>0</v>
      </c>
      <c r="F44" s="234">
        <f>sumifs('25.06'!$H$7:$H$162,'25.06'!$G$7:$G$162,$B44,'25.06'!$F$7:$F$162,F$3)</f>
        <v>0</v>
      </c>
      <c r="G44" s="234">
        <f>sumifs('25.06'!$H$7:$H$162,'25.06'!$G$7:$G$162,$B44,'25.06'!$F$7:$F$162,G$3)</f>
        <v>0</v>
      </c>
      <c r="H44" s="234">
        <f>sumifs('25.06'!$H$7:$H$162,'25.06'!$G$7:$G$162,$B44,'25.06'!$F$7:$F$162,H$3)</f>
        <v>0</v>
      </c>
      <c r="I44" s="234">
        <f>sumifs('25.06'!$H$7:$H$162,'25.06'!$G$7:$G$162,$B44,'25.06'!$F$7:$F$162,I$3)</f>
        <v>0</v>
      </c>
      <c r="J44" s="234">
        <f>sumifs('25.06'!$H$7:$H$162,'25.06'!$G$7:$G$162,$B44,'25.06'!$F$7:$F$162,J$3)</f>
        <v>0</v>
      </c>
      <c r="K44" s="234">
        <f>sumifs('25.06'!$H$7:$H$162,'25.06'!$G$7:$G$162,$B44,'25.06'!$F$7:$F$162,K$3)</f>
        <v>0</v>
      </c>
      <c r="L44" s="223">
        <f t="shared" si="1"/>
        <v>0</v>
      </c>
      <c r="M44" s="224"/>
      <c r="N44" s="224" t="str">
        <f t="shared" si="9"/>
        <v>#DIV/0!</v>
      </c>
      <c r="O44" s="224" t="str">
        <f t="shared" ref="O44:O47" si="13">L44/sum(L$44:L$47)</f>
        <v>#DIV/0!</v>
      </c>
      <c r="R44" s="234">
        <f>sumifs('25.06'!$H$7:$H$162,'25.06'!$I$7:$I$162,$B44,'25.06'!$J$7:$J$162,R$3)</f>
        <v>0</v>
      </c>
      <c r="S44" s="234">
        <f>sumifs('25.06'!$H$7:$H$162,'25.06'!$I$7:$I$162,$B44,'25.06'!$J$7:$J$162,S$3)</f>
        <v>0</v>
      </c>
      <c r="T44" s="234">
        <f>sumifs('25.06'!$H$7:$H$162,'25.06'!$I$7:$I$162,$B44,'25.06'!$J$7:$J$162,T$3)</f>
        <v>0</v>
      </c>
      <c r="U44" s="234">
        <f>sumifs('25.06'!$H$7:$H$162,'25.06'!$I$7:$I$162,$B44,'25.06'!$J$7:$J$162,U$3)</f>
        <v>0</v>
      </c>
      <c r="V44" s="234">
        <f>sumifs('25.06'!$H$7:$H$162,'25.06'!$I$7:$I$162,$B44,'25.06'!$J$7:$J$162,V$3)</f>
        <v>0</v>
      </c>
      <c r="W44" s="234">
        <f>sumifs('25.06'!$H$7:$H$162,'25.06'!$I$7:$I$162,$B44,'25.06'!$J$7:$J$162,W$3)</f>
        <v>0</v>
      </c>
      <c r="X44" s="234">
        <f>sumifs('25.06'!$H$7:$H$162,'25.06'!$I$7:$I$162,$B44,'25.06'!$J$7:$J$162,X$3)</f>
        <v>0</v>
      </c>
      <c r="Y44" s="234">
        <f>sumifs('25.06'!$H$7:$H$162,'25.06'!$I$7:$I$162,$B44,'25.06'!$J$7:$J$162,Y$3)</f>
        <v>0</v>
      </c>
      <c r="Z44" s="234">
        <f>sumifs('25.06'!$H$7:$H$162,'25.06'!$I$7:$I$162,$B44,'25.06'!$J$7:$J$162,Z$3)</f>
        <v>0</v>
      </c>
      <c r="AA44" s="223">
        <f t="shared" si="8"/>
        <v>0</v>
      </c>
    </row>
    <row r="45">
      <c r="A45" s="225" t="s">
        <v>109</v>
      </c>
      <c r="B45" s="212" t="s">
        <v>110</v>
      </c>
      <c r="C45" s="213">
        <f>sumifs('25.06'!$H$7:$H$162,'25.06'!$G$7:$G$162,$B45,'25.06'!$F$7:$F$162,C$3)</f>
        <v>0</v>
      </c>
      <c r="D45" s="213">
        <f>sumifs('25.06'!$H$7:$H$162,'25.06'!$G$7:$G$162,$B45,'25.06'!$F$7:$F$162,D$3)</f>
        <v>0</v>
      </c>
      <c r="E45" s="213">
        <f>sumifs('25.06'!$H$7:$H$162,'25.06'!$G$7:$G$162,$B45,'25.06'!$F$7:$F$162,E$3)</f>
        <v>0</v>
      </c>
      <c r="F45" s="213">
        <f>sumifs('25.06'!$H$7:$H$162,'25.06'!$G$7:$G$162,$B45,'25.06'!$F$7:$F$162,F$3)</f>
        <v>0</v>
      </c>
      <c r="G45" s="213">
        <f>sumifs('25.06'!$H$7:$H$162,'25.06'!$G$7:$G$162,$B45,'25.06'!$F$7:$F$162,G$3)</f>
        <v>0</v>
      </c>
      <c r="H45" s="213">
        <f>sumifs('25.06'!$H$7:$H$162,'25.06'!$G$7:$G$162,$B45,'25.06'!$F$7:$F$162,H$3)</f>
        <v>0</v>
      </c>
      <c r="I45" s="213">
        <f>sumifs('25.06'!$H$7:$H$162,'25.06'!$G$7:$G$162,$B45,'25.06'!$F$7:$F$162,I$3)</f>
        <v>0</v>
      </c>
      <c r="J45" s="213">
        <f>sumifs('25.06'!$H$7:$H$162,'25.06'!$G$7:$G$162,$B45,'25.06'!$F$7:$F$162,J$3)</f>
        <v>0</v>
      </c>
      <c r="K45" s="213">
        <f>sumifs('25.06'!$H$7:$H$162,'25.06'!$G$7:$G$162,$B45,'25.06'!$F$7:$F$162,K$3)</f>
        <v>0</v>
      </c>
      <c r="L45" s="214">
        <f t="shared" si="1"/>
        <v>0</v>
      </c>
      <c r="M45" s="215"/>
      <c r="N45" s="215" t="str">
        <f t="shared" si="9"/>
        <v>#DIV/0!</v>
      </c>
      <c r="O45" s="224" t="str">
        <f t="shared" si="13"/>
        <v>#DIV/0!</v>
      </c>
      <c r="R45" s="213">
        <f>sumifs('25.06'!$H$7:$H$162,'25.06'!$I$7:$I$162,$B45,'25.06'!$J$7:$J$162,R$3)</f>
        <v>0</v>
      </c>
      <c r="S45" s="213">
        <f>sumifs('25.06'!$H$7:$H$162,'25.06'!$I$7:$I$162,$B45,'25.06'!$J$7:$J$162,S$3)</f>
        <v>0</v>
      </c>
      <c r="T45" s="213">
        <f>sumifs('25.06'!$H$7:$H$162,'25.06'!$I$7:$I$162,$B45,'25.06'!$J$7:$J$162,T$3)</f>
        <v>0</v>
      </c>
      <c r="U45" s="213">
        <f>sumifs('25.06'!$H$7:$H$162,'25.06'!$I$7:$I$162,$B45,'25.06'!$J$7:$J$162,U$3)</f>
        <v>0</v>
      </c>
      <c r="V45" s="213">
        <f>sumifs('25.06'!$H$7:$H$162,'25.06'!$I$7:$I$162,$B45,'25.06'!$J$7:$J$162,V$3)</f>
        <v>0</v>
      </c>
      <c r="W45" s="213">
        <f>sumifs('25.06'!$H$7:$H$162,'25.06'!$I$7:$I$162,$B45,'25.06'!$J$7:$J$162,W$3)</f>
        <v>0</v>
      </c>
      <c r="X45" s="213">
        <f>sumifs('25.06'!$H$7:$H$162,'25.06'!$I$7:$I$162,$B45,'25.06'!$J$7:$J$162,X$3)</f>
        <v>0</v>
      </c>
      <c r="Y45" s="213">
        <f>sumifs('25.06'!$H$7:$H$162,'25.06'!$I$7:$I$162,$B45,'25.06'!$J$7:$J$162,Y$3)</f>
        <v>0</v>
      </c>
      <c r="Z45" s="213">
        <f>sumifs('25.06'!$H$7:$H$162,'25.06'!$I$7:$I$162,$B45,'25.06'!$J$7:$J$162,Z$3)</f>
        <v>0</v>
      </c>
      <c r="AA45" s="214">
        <f t="shared" si="8"/>
        <v>0</v>
      </c>
    </row>
    <row r="46">
      <c r="A46" s="225" t="s">
        <v>111</v>
      </c>
      <c r="B46" s="212" t="s">
        <v>112</v>
      </c>
      <c r="C46" s="213">
        <f>sumifs('25.06'!$H$7:$H$162,'25.06'!$G$7:$G$162,$B46,'25.06'!$F$7:$F$162,C$3)</f>
        <v>0</v>
      </c>
      <c r="D46" s="213">
        <f>sumifs('25.06'!$H$7:$H$162,'25.06'!$G$7:$G$162,$B46,'25.06'!$F$7:$F$162,D$3)</f>
        <v>0</v>
      </c>
      <c r="E46" s="213">
        <f>sumifs('25.06'!$H$7:$H$162,'25.06'!$G$7:$G$162,$B46,'25.06'!$F$7:$F$162,E$3)</f>
        <v>0</v>
      </c>
      <c r="F46" s="213">
        <f>sumifs('25.06'!$H$7:$H$162,'25.06'!$G$7:$G$162,$B46,'25.06'!$F$7:$F$162,F$3)</f>
        <v>0</v>
      </c>
      <c r="G46" s="213">
        <f>sumifs('25.06'!$H$7:$H$162,'25.06'!$G$7:$G$162,$B46,'25.06'!$F$7:$F$162,G$3)</f>
        <v>0</v>
      </c>
      <c r="H46" s="213">
        <f>sumifs('25.06'!$H$7:$H$162,'25.06'!$G$7:$G$162,$B46,'25.06'!$F$7:$F$162,H$3)</f>
        <v>0</v>
      </c>
      <c r="I46" s="213">
        <f>sumifs('25.06'!$H$7:$H$162,'25.06'!$G$7:$G$162,$B46,'25.06'!$F$7:$F$162,I$3)</f>
        <v>0</v>
      </c>
      <c r="J46" s="213">
        <f>sumifs('25.06'!$H$7:$H$162,'25.06'!$G$7:$G$162,$B46,'25.06'!$F$7:$F$162,J$3)</f>
        <v>0</v>
      </c>
      <c r="K46" s="213">
        <f>sumifs('25.06'!$H$7:$H$162,'25.06'!$G$7:$G$162,$B46,'25.06'!$F$7:$F$162,K$3)</f>
        <v>0</v>
      </c>
      <c r="L46" s="214">
        <f t="shared" si="1"/>
        <v>0</v>
      </c>
      <c r="M46" s="215"/>
      <c r="N46" s="215" t="str">
        <f t="shared" si="9"/>
        <v>#DIV/0!</v>
      </c>
      <c r="O46" s="224" t="str">
        <f t="shared" si="13"/>
        <v>#DIV/0!</v>
      </c>
      <c r="R46" s="213">
        <f>sumifs('25.06'!$H$7:$H$162,'25.06'!$I$7:$I$162,$B46,'25.06'!$J$7:$J$162,R$3)</f>
        <v>0</v>
      </c>
      <c r="S46" s="213">
        <f>sumifs('25.06'!$H$7:$H$162,'25.06'!$I$7:$I$162,$B46,'25.06'!$J$7:$J$162,S$3)</f>
        <v>0</v>
      </c>
      <c r="T46" s="213">
        <f>sumifs('25.06'!$H$7:$H$162,'25.06'!$I$7:$I$162,$B46,'25.06'!$J$7:$J$162,T$3)</f>
        <v>0</v>
      </c>
      <c r="U46" s="213">
        <f>sumifs('25.06'!$H$7:$H$162,'25.06'!$I$7:$I$162,$B46,'25.06'!$J$7:$J$162,U$3)</f>
        <v>0</v>
      </c>
      <c r="V46" s="213">
        <f>sumifs('25.06'!$H$7:$H$162,'25.06'!$I$7:$I$162,$B46,'25.06'!$J$7:$J$162,V$3)</f>
        <v>0</v>
      </c>
      <c r="W46" s="213">
        <f>sumifs('25.06'!$H$7:$H$162,'25.06'!$I$7:$I$162,$B46,'25.06'!$J$7:$J$162,W$3)</f>
        <v>0</v>
      </c>
      <c r="X46" s="213">
        <f>sumifs('25.06'!$H$7:$H$162,'25.06'!$I$7:$I$162,$B46,'25.06'!$J$7:$J$162,X$3)</f>
        <v>0</v>
      </c>
      <c r="Y46" s="213">
        <f>sumifs('25.06'!$H$7:$H$162,'25.06'!$I$7:$I$162,$B46,'25.06'!$J$7:$J$162,Y$3)</f>
        <v>0</v>
      </c>
      <c r="Z46" s="213">
        <f>sumifs('25.06'!$H$7:$H$162,'25.06'!$I$7:$I$162,$B46,'25.06'!$J$7:$J$162,Z$3)</f>
        <v>0</v>
      </c>
      <c r="AA46" s="214">
        <f t="shared" si="8"/>
        <v>0</v>
      </c>
    </row>
    <row r="47">
      <c r="A47" s="226" t="s">
        <v>113</v>
      </c>
      <c r="B47" s="227" t="s">
        <v>114</v>
      </c>
      <c r="C47" s="228">
        <f>sumifs('25.06'!$H$7:$H$162,'25.06'!$G$7:$G$162,$B47,'25.06'!$F$7:$F$162,C$3)</f>
        <v>0</v>
      </c>
      <c r="D47" s="228">
        <f>sumifs('25.06'!$H$7:$H$162,'25.06'!$G$7:$G$162,$B47,'25.06'!$F$7:$F$162,D$3)</f>
        <v>0</v>
      </c>
      <c r="E47" s="228">
        <f>sumifs('25.06'!$H$7:$H$162,'25.06'!$G$7:$G$162,$B47,'25.06'!$F$7:$F$162,E$3)</f>
        <v>0</v>
      </c>
      <c r="F47" s="228">
        <f>sumifs('25.06'!$H$7:$H$162,'25.06'!$G$7:$G$162,$B47,'25.06'!$F$7:$F$162,F$3)</f>
        <v>0</v>
      </c>
      <c r="G47" s="228">
        <f>sumifs('25.06'!$H$7:$H$162,'25.06'!$G$7:$G$162,$B47,'25.06'!$F$7:$F$162,G$3)</f>
        <v>0</v>
      </c>
      <c r="H47" s="228">
        <f>sumifs('25.06'!$H$7:$H$162,'25.06'!$G$7:$G$162,$B47,'25.06'!$F$7:$F$162,H$3)</f>
        <v>0</v>
      </c>
      <c r="I47" s="228">
        <f>sumifs('25.06'!$H$7:$H$162,'25.06'!$G$7:$G$162,$B47,'25.06'!$F$7:$F$162,I$3)</f>
        <v>0</v>
      </c>
      <c r="J47" s="228">
        <f>sumifs('25.06'!$H$7:$H$162,'25.06'!$G$7:$G$162,$B47,'25.06'!$F$7:$F$162,J$3)</f>
        <v>0</v>
      </c>
      <c r="K47" s="228">
        <f>sumifs('25.06'!$H$7:$H$162,'25.06'!$G$7:$G$162,$B47,'25.06'!$F$7:$F$162,K$3)</f>
        <v>0</v>
      </c>
      <c r="L47" s="229">
        <f t="shared" si="1"/>
        <v>0</v>
      </c>
      <c r="M47" s="230"/>
      <c r="N47" s="230" t="str">
        <f t="shared" si="9"/>
        <v>#DIV/0!</v>
      </c>
      <c r="O47" s="231" t="str">
        <f t="shared" si="13"/>
        <v>#DIV/0!</v>
      </c>
      <c r="R47" s="228">
        <f>sumifs('25.06'!$H$7:$H$162,'25.06'!$I$7:$I$162,$B47,'25.06'!$J$7:$J$162,R$3)</f>
        <v>0</v>
      </c>
      <c r="S47" s="228">
        <f>sumifs('25.06'!$H$7:$H$162,'25.06'!$I$7:$I$162,$B47,'25.06'!$J$7:$J$162,S$3)</f>
        <v>0</v>
      </c>
      <c r="T47" s="228">
        <f>sumifs('25.06'!$H$7:$H$162,'25.06'!$I$7:$I$162,$B47,'25.06'!$J$7:$J$162,T$3)</f>
        <v>0</v>
      </c>
      <c r="U47" s="228">
        <f>sumifs('25.06'!$H$7:$H$162,'25.06'!$I$7:$I$162,$B47,'25.06'!$J$7:$J$162,U$3)</f>
        <v>0</v>
      </c>
      <c r="V47" s="228">
        <f>sumifs('25.06'!$H$7:$H$162,'25.06'!$I$7:$I$162,$B47,'25.06'!$J$7:$J$162,V$3)</f>
        <v>0</v>
      </c>
      <c r="W47" s="228">
        <f>sumifs('25.06'!$H$7:$H$162,'25.06'!$I$7:$I$162,$B47,'25.06'!$J$7:$J$162,W$3)</f>
        <v>0</v>
      </c>
      <c r="X47" s="228">
        <f>sumifs('25.06'!$H$7:$H$162,'25.06'!$I$7:$I$162,$B47,'25.06'!$J$7:$J$162,X$3)</f>
        <v>0</v>
      </c>
      <c r="Y47" s="228">
        <f>sumifs('25.06'!$H$7:$H$162,'25.06'!$I$7:$I$162,$B47,'25.06'!$J$7:$J$162,Y$3)</f>
        <v>0</v>
      </c>
      <c r="Z47" s="228">
        <f>sumifs('25.06'!$H$7:$H$162,'25.06'!$I$7:$I$162,$B47,'25.06'!$J$7:$J$162,Z$3)</f>
        <v>0</v>
      </c>
      <c r="AA47" s="229">
        <f t="shared" si="8"/>
        <v>0</v>
      </c>
    </row>
    <row r="48">
      <c r="A48" s="232">
        <v>45051.0</v>
      </c>
      <c r="B48" s="233" t="s">
        <v>115</v>
      </c>
      <c r="C48" s="234">
        <f>sumifs('25.06'!$H$7:$H$162,'25.06'!$G$7:$G$162,$B48,'25.06'!$F$7:$F$162,C$3)</f>
        <v>0</v>
      </c>
      <c r="D48" s="234">
        <f>sumifs('25.06'!$H$7:$H$162,'25.06'!$G$7:$G$162,$B48,'25.06'!$F$7:$F$162,D$3)</f>
        <v>0</v>
      </c>
      <c r="E48" s="234">
        <f>sumifs('25.06'!$H$7:$H$162,'25.06'!$G$7:$G$162,$B48,'25.06'!$F$7:$F$162,E$3)</f>
        <v>0</v>
      </c>
      <c r="F48" s="234">
        <f>sumifs('25.06'!$H$7:$H$162,'25.06'!$G$7:$G$162,$B48,'25.06'!$F$7:$F$162,F$3)</f>
        <v>0</v>
      </c>
      <c r="G48" s="234">
        <f>sumifs('25.06'!$H$7:$H$162,'25.06'!$G$7:$G$162,$B48,'25.06'!$F$7:$F$162,G$3)</f>
        <v>0</v>
      </c>
      <c r="H48" s="234">
        <f>sumifs('25.06'!$H$7:$H$162,'25.06'!$G$7:$G$162,$B48,'25.06'!$F$7:$F$162,H$3)</f>
        <v>0</v>
      </c>
      <c r="I48" s="234">
        <f>sumifs('25.06'!$H$7:$H$162,'25.06'!$G$7:$G$162,$B48,'25.06'!$F$7:$F$162,I$3)</f>
        <v>0</v>
      </c>
      <c r="J48" s="234">
        <f>sumifs('25.06'!$H$7:$H$162,'25.06'!$G$7:$G$162,$B48,'25.06'!$F$7:$F$162,J$3)</f>
        <v>0</v>
      </c>
      <c r="K48" s="234">
        <f>sumifs('25.06'!$H$7:$H$162,'25.06'!$G$7:$G$162,$B48,'25.06'!$F$7:$F$162,K$3)</f>
        <v>0</v>
      </c>
      <c r="L48" s="223">
        <f t="shared" si="1"/>
        <v>0</v>
      </c>
      <c r="M48" s="224"/>
      <c r="N48" s="224" t="str">
        <f t="shared" si="9"/>
        <v>#DIV/0!</v>
      </c>
      <c r="O48" s="224" t="str">
        <f t="shared" ref="O48:O51" si="14">L48/sum(L$48:L$51)</f>
        <v>#DIV/0!</v>
      </c>
      <c r="R48" s="234">
        <f>sumifs('25.06'!$H$7:$H$162,'25.06'!$I$7:$I$162,$B48,'25.06'!$J$7:$J$162,R$3)</f>
        <v>0</v>
      </c>
      <c r="S48" s="234">
        <f>sumifs('25.06'!$H$7:$H$162,'25.06'!$I$7:$I$162,$B48,'25.06'!$J$7:$J$162,S$3)</f>
        <v>0</v>
      </c>
      <c r="T48" s="234">
        <f>sumifs('25.06'!$H$7:$H$162,'25.06'!$I$7:$I$162,$B48,'25.06'!$J$7:$J$162,T$3)</f>
        <v>0</v>
      </c>
      <c r="U48" s="234">
        <f>sumifs('25.06'!$H$7:$H$162,'25.06'!$I$7:$I$162,$B48,'25.06'!$J$7:$J$162,U$3)</f>
        <v>0</v>
      </c>
      <c r="V48" s="234">
        <f>sumifs('25.06'!$H$7:$H$162,'25.06'!$I$7:$I$162,$B48,'25.06'!$J$7:$J$162,V$3)</f>
        <v>0</v>
      </c>
      <c r="W48" s="234">
        <f>sumifs('25.06'!$H$7:$H$162,'25.06'!$I$7:$I$162,$B48,'25.06'!$J$7:$J$162,W$3)</f>
        <v>0</v>
      </c>
      <c r="X48" s="234">
        <f>sumifs('25.06'!$H$7:$H$162,'25.06'!$I$7:$I$162,$B48,'25.06'!$J$7:$J$162,X$3)</f>
        <v>0</v>
      </c>
      <c r="Y48" s="234">
        <f>sumifs('25.06'!$H$7:$H$162,'25.06'!$I$7:$I$162,$B48,'25.06'!$J$7:$J$162,Y$3)</f>
        <v>0</v>
      </c>
      <c r="Z48" s="234">
        <f>sumifs('25.06'!$H$7:$H$162,'25.06'!$I$7:$I$162,$B48,'25.06'!$J$7:$J$162,Z$3)</f>
        <v>0</v>
      </c>
      <c r="AA48" s="223">
        <f t="shared" si="8"/>
        <v>0</v>
      </c>
    </row>
    <row r="49">
      <c r="A49" s="225" t="s">
        <v>116</v>
      </c>
      <c r="B49" s="212" t="s">
        <v>117</v>
      </c>
      <c r="C49" s="213">
        <f>sumifs('25.06'!$H$7:$H$162,'25.06'!$G$7:$G$162,$B49,'25.06'!$F$7:$F$162,C$3)</f>
        <v>0</v>
      </c>
      <c r="D49" s="213">
        <f>sumifs('25.06'!$H$7:$H$162,'25.06'!$G$7:$G$162,$B49,'25.06'!$F$7:$F$162,D$3)</f>
        <v>0</v>
      </c>
      <c r="E49" s="213">
        <f>sumifs('25.06'!$H$7:$H$162,'25.06'!$G$7:$G$162,$B49,'25.06'!$F$7:$F$162,E$3)</f>
        <v>0</v>
      </c>
      <c r="F49" s="213">
        <f>sumifs('25.06'!$H$7:$H$162,'25.06'!$G$7:$G$162,$B49,'25.06'!$F$7:$F$162,F$3)</f>
        <v>0</v>
      </c>
      <c r="G49" s="213">
        <f>sumifs('25.06'!$H$7:$H$162,'25.06'!$G$7:$G$162,$B49,'25.06'!$F$7:$F$162,G$3)</f>
        <v>0</v>
      </c>
      <c r="H49" s="213">
        <f>sumifs('25.06'!$H$7:$H$162,'25.06'!$G$7:$G$162,$B49,'25.06'!$F$7:$F$162,H$3)</f>
        <v>0</v>
      </c>
      <c r="I49" s="213">
        <f>sumifs('25.06'!$H$7:$H$162,'25.06'!$G$7:$G$162,$B49,'25.06'!$F$7:$F$162,I$3)</f>
        <v>0</v>
      </c>
      <c r="J49" s="213">
        <f>sumifs('25.06'!$H$7:$H$162,'25.06'!$G$7:$G$162,$B49,'25.06'!$F$7:$F$162,J$3)</f>
        <v>0</v>
      </c>
      <c r="K49" s="213">
        <f>sumifs('25.06'!$H$7:$H$162,'25.06'!$G$7:$G$162,$B49,'25.06'!$F$7:$F$162,K$3)</f>
        <v>0</v>
      </c>
      <c r="L49" s="214">
        <f t="shared" si="1"/>
        <v>0</v>
      </c>
      <c r="M49" s="215"/>
      <c r="N49" s="215" t="str">
        <f t="shared" si="9"/>
        <v>#DIV/0!</v>
      </c>
      <c r="O49" s="224" t="str">
        <f t="shared" si="14"/>
        <v>#DIV/0!</v>
      </c>
      <c r="R49" s="213">
        <f>sumifs('25.06'!$H$7:$H$162,'25.06'!$I$7:$I$162,$B49,'25.06'!$J$7:$J$162,R$3)</f>
        <v>0</v>
      </c>
      <c r="S49" s="213">
        <f>sumifs('25.06'!$H$7:$H$162,'25.06'!$I$7:$I$162,$B49,'25.06'!$J$7:$J$162,S$3)</f>
        <v>0</v>
      </c>
      <c r="T49" s="213">
        <f>sumifs('25.06'!$H$7:$H$162,'25.06'!$I$7:$I$162,$B49,'25.06'!$J$7:$J$162,T$3)</f>
        <v>0</v>
      </c>
      <c r="U49" s="213">
        <f>sumifs('25.06'!$H$7:$H$162,'25.06'!$I$7:$I$162,$B49,'25.06'!$J$7:$J$162,U$3)</f>
        <v>0</v>
      </c>
      <c r="V49" s="213">
        <f>sumifs('25.06'!$H$7:$H$162,'25.06'!$I$7:$I$162,$B49,'25.06'!$J$7:$J$162,V$3)</f>
        <v>0</v>
      </c>
      <c r="W49" s="213">
        <f>sumifs('25.06'!$H$7:$H$162,'25.06'!$I$7:$I$162,$B49,'25.06'!$J$7:$J$162,W$3)</f>
        <v>0</v>
      </c>
      <c r="X49" s="213">
        <f>sumifs('25.06'!$H$7:$H$162,'25.06'!$I$7:$I$162,$B49,'25.06'!$J$7:$J$162,X$3)</f>
        <v>0</v>
      </c>
      <c r="Y49" s="213">
        <f>sumifs('25.06'!$H$7:$H$162,'25.06'!$I$7:$I$162,$B49,'25.06'!$J$7:$J$162,Y$3)</f>
        <v>0</v>
      </c>
      <c r="Z49" s="213">
        <f>sumifs('25.06'!$H$7:$H$162,'25.06'!$I$7:$I$162,$B49,'25.06'!$J$7:$J$162,Z$3)</f>
        <v>0</v>
      </c>
      <c r="AA49" s="214">
        <f t="shared" si="8"/>
        <v>0</v>
      </c>
    </row>
    <row r="50">
      <c r="A50" s="225" t="s">
        <v>118</v>
      </c>
      <c r="B50" s="212" t="s">
        <v>119</v>
      </c>
      <c r="C50" s="213">
        <f>sumifs('25.06'!$H$7:$H$162,'25.06'!$G$7:$G$162,$B50,'25.06'!$F$7:$F$162,C$3)</f>
        <v>0</v>
      </c>
      <c r="D50" s="213">
        <f>sumifs('25.06'!$H$7:$H$162,'25.06'!$G$7:$G$162,$B50,'25.06'!$F$7:$F$162,D$3)</f>
        <v>0</v>
      </c>
      <c r="E50" s="213">
        <f>sumifs('25.06'!$H$7:$H$162,'25.06'!$G$7:$G$162,$B50,'25.06'!$F$7:$F$162,E$3)</f>
        <v>0</v>
      </c>
      <c r="F50" s="213">
        <f>sumifs('25.06'!$H$7:$H$162,'25.06'!$G$7:$G$162,$B50,'25.06'!$F$7:$F$162,F$3)</f>
        <v>0</v>
      </c>
      <c r="G50" s="213">
        <f>sumifs('25.06'!$H$7:$H$162,'25.06'!$G$7:$G$162,$B50,'25.06'!$F$7:$F$162,G$3)</f>
        <v>0</v>
      </c>
      <c r="H50" s="213">
        <f>sumifs('25.06'!$H$7:$H$162,'25.06'!$G$7:$G$162,$B50,'25.06'!$F$7:$F$162,H$3)</f>
        <v>0</v>
      </c>
      <c r="I50" s="213">
        <f>sumifs('25.06'!$H$7:$H$162,'25.06'!$G$7:$G$162,$B50,'25.06'!$F$7:$F$162,I$3)</f>
        <v>0</v>
      </c>
      <c r="J50" s="213">
        <f>sumifs('25.06'!$H$7:$H$162,'25.06'!$G$7:$G$162,$B50,'25.06'!$F$7:$F$162,J$3)</f>
        <v>0</v>
      </c>
      <c r="K50" s="213">
        <f>sumifs('25.06'!$H$7:$H$162,'25.06'!$G$7:$G$162,$B50,'25.06'!$F$7:$F$162,K$3)</f>
        <v>0</v>
      </c>
      <c r="L50" s="214">
        <f t="shared" si="1"/>
        <v>0</v>
      </c>
      <c r="M50" s="215"/>
      <c r="N50" s="215" t="str">
        <f t="shared" si="9"/>
        <v>#DIV/0!</v>
      </c>
      <c r="O50" s="224" t="str">
        <f t="shared" si="14"/>
        <v>#DIV/0!</v>
      </c>
      <c r="R50" s="213">
        <f>sumifs('25.06'!$H$7:$H$162,'25.06'!$I$7:$I$162,$B50,'25.06'!$J$7:$J$162,R$3)</f>
        <v>0</v>
      </c>
      <c r="S50" s="213">
        <f>sumifs('25.06'!$H$7:$H$162,'25.06'!$I$7:$I$162,$B50,'25.06'!$J$7:$J$162,S$3)</f>
        <v>0</v>
      </c>
      <c r="T50" s="213">
        <f>sumifs('25.06'!$H$7:$H$162,'25.06'!$I$7:$I$162,$B50,'25.06'!$J$7:$J$162,T$3)</f>
        <v>0</v>
      </c>
      <c r="U50" s="213">
        <f>sumifs('25.06'!$H$7:$H$162,'25.06'!$I$7:$I$162,$B50,'25.06'!$J$7:$J$162,U$3)</f>
        <v>0</v>
      </c>
      <c r="V50" s="213">
        <f>sumifs('25.06'!$H$7:$H$162,'25.06'!$I$7:$I$162,$B50,'25.06'!$J$7:$J$162,V$3)</f>
        <v>0</v>
      </c>
      <c r="W50" s="213">
        <f>sumifs('25.06'!$H$7:$H$162,'25.06'!$I$7:$I$162,$B50,'25.06'!$J$7:$J$162,W$3)</f>
        <v>0</v>
      </c>
      <c r="X50" s="213">
        <f>sumifs('25.06'!$H$7:$H$162,'25.06'!$I$7:$I$162,$B50,'25.06'!$J$7:$J$162,X$3)</f>
        <v>0</v>
      </c>
      <c r="Y50" s="213">
        <f>sumifs('25.06'!$H$7:$H$162,'25.06'!$I$7:$I$162,$B50,'25.06'!$J$7:$J$162,Y$3)</f>
        <v>0</v>
      </c>
      <c r="Z50" s="213">
        <f>sumifs('25.06'!$H$7:$H$162,'25.06'!$I$7:$I$162,$B50,'25.06'!$J$7:$J$162,Z$3)</f>
        <v>0</v>
      </c>
      <c r="AA50" s="214">
        <f t="shared" si="8"/>
        <v>0</v>
      </c>
    </row>
    <row r="51">
      <c r="A51" s="226" t="s">
        <v>120</v>
      </c>
      <c r="B51" s="227" t="s">
        <v>121</v>
      </c>
      <c r="C51" s="228">
        <f>sumifs('25.06'!$H$7:$H$162,'25.06'!$G$7:$G$162,$B51,'25.06'!$F$7:$F$162,C$3)</f>
        <v>0</v>
      </c>
      <c r="D51" s="228">
        <f>sumifs('25.06'!$H$7:$H$162,'25.06'!$G$7:$G$162,$B51,'25.06'!$F$7:$F$162,D$3)</f>
        <v>0</v>
      </c>
      <c r="E51" s="228">
        <f>sumifs('25.06'!$H$7:$H$162,'25.06'!$G$7:$G$162,$B51,'25.06'!$F$7:$F$162,E$3)</f>
        <v>0</v>
      </c>
      <c r="F51" s="228">
        <f>sumifs('25.06'!$H$7:$H$162,'25.06'!$G$7:$G$162,$B51,'25.06'!$F$7:$F$162,F$3)</f>
        <v>0</v>
      </c>
      <c r="G51" s="228">
        <f>sumifs('25.06'!$H$7:$H$162,'25.06'!$G$7:$G$162,$B51,'25.06'!$F$7:$F$162,G$3)</f>
        <v>0</v>
      </c>
      <c r="H51" s="228">
        <f>sumifs('25.06'!$H$7:$H$162,'25.06'!$G$7:$G$162,$B51,'25.06'!$F$7:$F$162,H$3)</f>
        <v>0</v>
      </c>
      <c r="I51" s="228">
        <f>sumifs('25.06'!$H$7:$H$162,'25.06'!$G$7:$G$162,$B51,'25.06'!$F$7:$F$162,I$3)</f>
        <v>0</v>
      </c>
      <c r="J51" s="228">
        <f>sumifs('25.06'!$H$7:$H$162,'25.06'!$G$7:$G$162,$B51,'25.06'!$F$7:$F$162,J$3)</f>
        <v>0</v>
      </c>
      <c r="K51" s="228">
        <f>sumifs('25.06'!$H$7:$H$162,'25.06'!$G$7:$G$162,$B51,'25.06'!$F$7:$F$162,K$3)</f>
        <v>0</v>
      </c>
      <c r="L51" s="229">
        <f t="shared" si="1"/>
        <v>0</v>
      </c>
      <c r="M51" s="230"/>
      <c r="N51" s="230" t="str">
        <f t="shared" si="9"/>
        <v>#DIV/0!</v>
      </c>
      <c r="O51" s="231" t="str">
        <f t="shared" si="14"/>
        <v>#DIV/0!</v>
      </c>
      <c r="R51" s="228">
        <f>sumifs('25.06'!$H$7:$H$162,'25.06'!$I$7:$I$162,$B51,'25.06'!$J$7:$J$162,R$3)</f>
        <v>0</v>
      </c>
      <c r="S51" s="228">
        <f>sumifs('25.06'!$H$7:$H$162,'25.06'!$I$7:$I$162,$B51,'25.06'!$J$7:$J$162,S$3)</f>
        <v>0</v>
      </c>
      <c r="T51" s="228">
        <f>sumifs('25.06'!$H$7:$H$162,'25.06'!$I$7:$I$162,$B51,'25.06'!$J$7:$J$162,T$3)</f>
        <v>0</v>
      </c>
      <c r="U51" s="228">
        <f>sumifs('25.06'!$H$7:$H$162,'25.06'!$I$7:$I$162,$B51,'25.06'!$J$7:$J$162,U$3)</f>
        <v>0</v>
      </c>
      <c r="V51" s="228">
        <f>sumifs('25.06'!$H$7:$H$162,'25.06'!$I$7:$I$162,$B51,'25.06'!$J$7:$J$162,V$3)</f>
        <v>0</v>
      </c>
      <c r="W51" s="228">
        <f>sumifs('25.06'!$H$7:$H$162,'25.06'!$I$7:$I$162,$B51,'25.06'!$J$7:$J$162,W$3)</f>
        <v>0</v>
      </c>
      <c r="X51" s="228">
        <f>sumifs('25.06'!$H$7:$H$162,'25.06'!$I$7:$I$162,$B51,'25.06'!$J$7:$J$162,X$3)</f>
        <v>0</v>
      </c>
      <c r="Y51" s="228">
        <f>sumifs('25.06'!$H$7:$H$162,'25.06'!$I$7:$I$162,$B51,'25.06'!$J$7:$J$162,Y$3)</f>
        <v>0</v>
      </c>
      <c r="Z51" s="228">
        <f>sumifs('25.06'!$H$7:$H$162,'25.06'!$I$7:$I$162,$B51,'25.06'!$J$7:$J$162,Z$3)</f>
        <v>0</v>
      </c>
      <c r="AA51" s="229">
        <f t="shared" si="8"/>
        <v>0</v>
      </c>
    </row>
    <row r="52">
      <c r="A52" s="232">
        <v>45082.0</v>
      </c>
      <c r="B52" s="233" t="s">
        <v>122</v>
      </c>
      <c r="C52" s="234">
        <f>sumifs('25.06'!$H$7:$H$162,'25.06'!$G$7:$G$162,$B52,'25.06'!$F$7:$F$162,C$3)</f>
        <v>0</v>
      </c>
      <c r="D52" s="234">
        <f>sumifs('25.06'!$H$7:$H$162,'25.06'!$G$7:$G$162,$B52,'25.06'!$F$7:$F$162,D$3)</f>
        <v>0</v>
      </c>
      <c r="E52" s="234">
        <f>sumifs('25.06'!$H$7:$H$162,'25.06'!$G$7:$G$162,$B52,'25.06'!$F$7:$F$162,E$3)</f>
        <v>0</v>
      </c>
      <c r="F52" s="234">
        <f>sumifs('25.06'!$H$7:$H$162,'25.06'!$G$7:$G$162,$B52,'25.06'!$F$7:$F$162,F$3)</f>
        <v>0</v>
      </c>
      <c r="G52" s="234">
        <f>sumifs('25.06'!$H$7:$H$162,'25.06'!$G$7:$G$162,$B52,'25.06'!$F$7:$F$162,G$3)</f>
        <v>0</v>
      </c>
      <c r="H52" s="234">
        <f>sumifs('25.06'!$H$7:$H$162,'25.06'!$G$7:$G$162,$B52,'25.06'!$F$7:$F$162,H$3)</f>
        <v>0</v>
      </c>
      <c r="I52" s="234">
        <f>sumifs('25.06'!$H$7:$H$162,'25.06'!$G$7:$G$162,$B52,'25.06'!$F$7:$F$162,I$3)</f>
        <v>0</v>
      </c>
      <c r="J52" s="234">
        <f>sumifs('25.06'!$H$7:$H$162,'25.06'!$G$7:$G$162,$B52,'25.06'!$F$7:$F$162,J$3)</f>
        <v>0</v>
      </c>
      <c r="K52" s="234">
        <f>sumifs('25.06'!$H$7:$H$162,'25.06'!$G$7:$G$162,$B52,'25.06'!$F$7:$F$162,K$3)</f>
        <v>0</v>
      </c>
      <c r="L52" s="223">
        <f t="shared" si="1"/>
        <v>0</v>
      </c>
      <c r="M52" s="224"/>
      <c r="N52" s="224" t="str">
        <f t="shared" si="9"/>
        <v>#DIV/0!</v>
      </c>
      <c r="O52" s="224" t="str">
        <f>L52/sum(L$52:L$54)</f>
        <v>#DIV/0!</v>
      </c>
      <c r="R52" s="234">
        <f>sumifs('25.06'!$H$7:$H$162,'25.06'!$I$7:$I$162,$B52,'25.06'!$J$7:$J$162,R$3)</f>
        <v>0</v>
      </c>
      <c r="S52" s="234">
        <f>sumifs('25.06'!$H$7:$H$162,'25.06'!$I$7:$I$162,$B52,'25.06'!$J$7:$J$162,S$3)</f>
        <v>0</v>
      </c>
      <c r="T52" s="234">
        <f>sumifs('25.06'!$H$7:$H$162,'25.06'!$I$7:$I$162,$B52,'25.06'!$J$7:$J$162,T$3)</f>
        <v>0</v>
      </c>
      <c r="U52" s="234">
        <f>sumifs('25.06'!$H$7:$H$162,'25.06'!$I$7:$I$162,$B52,'25.06'!$J$7:$J$162,U$3)</f>
        <v>0</v>
      </c>
      <c r="V52" s="234">
        <f>sumifs('25.06'!$H$7:$H$162,'25.06'!$I$7:$I$162,$B52,'25.06'!$J$7:$J$162,V$3)</f>
        <v>0</v>
      </c>
      <c r="W52" s="234">
        <f>sumifs('25.06'!$H$7:$H$162,'25.06'!$I$7:$I$162,$B52,'25.06'!$J$7:$J$162,W$3)</f>
        <v>0</v>
      </c>
      <c r="X52" s="234">
        <f>sumifs('25.06'!$H$7:$H$162,'25.06'!$I$7:$I$162,$B52,'25.06'!$J$7:$J$162,X$3)</f>
        <v>0</v>
      </c>
      <c r="Y52" s="234">
        <f>sumifs('25.06'!$H$7:$H$162,'25.06'!$I$7:$I$162,$B52,'25.06'!$J$7:$J$162,Y$3)</f>
        <v>0</v>
      </c>
      <c r="Z52" s="234">
        <f>sumifs('25.06'!$H$7:$H$162,'25.06'!$I$7:$I$162,$B52,'25.06'!$J$7:$J$162,Z$3)</f>
        <v>0</v>
      </c>
      <c r="AA52" s="223">
        <f t="shared" si="8"/>
        <v>0</v>
      </c>
    </row>
    <row r="53">
      <c r="A53" s="225" t="s">
        <v>123</v>
      </c>
      <c r="B53" s="212" t="s">
        <v>124</v>
      </c>
      <c r="C53" s="213">
        <f>sumifs('25.06'!$H$7:$H$162,'25.06'!$G$7:$G$162,$B53,'25.06'!$F$7:$F$162,C$3)</f>
        <v>0</v>
      </c>
      <c r="D53" s="213">
        <f>sumifs('25.06'!$H$7:$H$162,'25.06'!$G$7:$G$162,$B53,'25.06'!$F$7:$F$162,D$3)</f>
        <v>0</v>
      </c>
      <c r="E53" s="213">
        <f>sumifs('25.06'!$H$7:$H$162,'25.06'!$G$7:$G$162,$B53,'25.06'!$F$7:$F$162,E$3)</f>
        <v>0</v>
      </c>
      <c r="F53" s="213">
        <f>sumifs('25.06'!$H$7:$H$162,'25.06'!$G$7:$G$162,$B53,'25.06'!$F$7:$F$162,F$3)</f>
        <v>0</v>
      </c>
      <c r="G53" s="213">
        <f>sumifs('25.06'!$H$7:$H$162,'25.06'!$G$7:$G$162,$B53,'25.06'!$F$7:$F$162,G$3)</f>
        <v>0</v>
      </c>
      <c r="H53" s="213">
        <f>sumifs('25.06'!$H$7:$H$162,'25.06'!$G$7:$G$162,$B53,'25.06'!$F$7:$F$162,H$3)</f>
        <v>0</v>
      </c>
      <c r="I53" s="213">
        <f>sumifs('25.06'!$H$7:$H$162,'25.06'!$G$7:$G$162,$B53,'25.06'!$F$7:$F$162,I$3)</f>
        <v>0</v>
      </c>
      <c r="J53" s="213">
        <f>sumifs('25.06'!$H$7:$H$162,'25.06'!$G$7:$G$162,$B53,'25.06'!$F$7:$F$162,J$3)</f>
        <v>0</v>
      </c>
      <c r="K53" s="213">
        <f>sumifs('25.06'!$H$7:$H$162,'25.06'!$G$7:$G$162,$B53,'25.06'!$F$7:$F$162,K$3)</f>
        <v>0</v>
      </c>
      <c r="L53" s="214">
        <f t="shared" si="1"/>
        <v>0</v>
      </c>
      <c r="M53" s="215"/>
      <c r="N53" s="215" t="str">
        <f t="shared" si="9"/>
        <v>#DIV/0!</v>
      </c>
      <c r="O53" s="215"/>
      <c r="R53" s="213">
        <f>sumifs('25.06'!$H$7:$H$162,'25.06'!$I$7:$I$162,$B53,'25.06'!$J$7:$J$162,R$3)</f>
        <v>0</v>
      </c>
      <c r="S53" s="213">
        <f>sumifs('25.06'!$H$7:$H$162,'25.06'!$I$7:$I$162,$B53,'25.06'!$J$7:$J$162,S$3)</f>
        <v>0</v>
      </c>
      <c r="T53" s="213">
        <f>sumifs('25.06'!$H$7:$H$162,'25.06'!$I$7:$I$162,$B53,'25.06'!$J$7:$J$162,T$3)</f>
        <v>0</v>
      </c>
      <c r="U53" s="213">
        <f>sumifs('25.06'!$H$7:$H$162,'25.06'!$I$7:$I$162,$B53,'25.06'!$J$7:$J$162,U$3)</f>
        <v>0</v>
      </c>
      <c r="V53" s="213">
        <f>sumifs('25.06'!$H$7:$H$162,'25.06'!$I$7:$I$162,$B53,'25.06'!$J$7:$J$162,V$3)</f>
        <v>0</v>
      </c>
      <c r="W53" s="213">
        <f>sumifs('25.06'!$H$7:$H$162,'25.06'!$I$7:$I$162,$B53,'25.06'!$J$7:$J$162,W$3)</f>
        <v>0</v>
      </c>
      <c r="X53" s="213">
        <f>sumifs('25.06'!$H$7:$H$162,'25.06'!$I$7:$I$162,$B53,'25.06'!$J$7:$J$162,X$3)</f>
        <v>0</v>
      </c>
      <c r="Y53" s="213">
        <f>sumifs('25.06'!$H$7:$H$162,'25.06'!$I$7:$I$162,$B53,'25.06'!$J$7:$J$162,Y$3)</f>
        <v>0</v>
      </c>
      <c r="Z53" s="213">
        <f>sumifs('25.06'!$H$7:$H$162,'25.06'!$I$7:$I$162,$B53,'25.06'!$J$7:$J$162,Z$3)</f>
        <v>0</v>
      </c>
      <c r="AA53" s="214">
        <f t="shared" si="8"/>
        <v>0</v>
      </c>
    </row>
    <row r="54">
      <c r="A54" s="235" t="s">
        <v>125</v>
      </c>
      <c r="B54" s="236" t="s">
        <v>126</v>
      </c>
      <c r="C54" s="237">
        <f>sumifs('25.06'!$H$7:$H$162,'25.06'!$G$7:$G$162,$B54,'25.06'!$F$7:$F$162,C$3)</f>
        <v>0</v>
      </c>
      <c r="D54" s="237">
        <f>sumifs('25.06'!$H$7:$H$162,'25.06'!$G$7:$G$162,$B54,'25.06'!$F$7:$F$162,D$3)</f>
        <v>0</v>
      </c>
      <c r="E54" s="237">
        <f>sumifs('25.06'!$H$7:$H$162,'25.06'!$G$7:$G$162,$B54,'25.06'!$F$7:$F$162,E$3)</f>
        <v>0</v>
      </c>
      <c r="F54" s="237">
        <f>sumifs('25.06'!$H$7:$H$162,'25.06'!$G$7:$G$162,$B54,'25.06'!$F$7:$F$162,F$3)</f>
        <v>0</v>
      </c>
      <c r="G54" s="237">
        <f>sumifs('25.06'!$H$7:$H$162,'25.06'!$G$7:$G$162,$B54,'25.06'!$F$7:$F$162,G$3)</f>
        <v>0</v>
      </c>
      <c r="H54" s="237">
        <f>sumifs('25.06'!$H$7:$H$162,'25.06'!$G$7:$G$162,$B54,'25.06'!$F$7:$F$162,H$3)</f>
        <v>0</v>
      </c>
      <c r="I54" s="237">
        <f>sumifs('25.06'!$H$7:$H$162,'25.06'!$G$7:$G$162,$B54,'25.06'!$F$7:$F$162,I$3)</f>
        <v>0</v>
      </c>
      <c r="J54" s="237">
        <f>sumifs('25.06'!$H$7:$H$162,'25.06'!$G$7:$G$162,$B54,'25.06'!$F$7:$F$162,J$3)</f>
        <v>0</v>
      </c>
      <c r="K54" s="237">
        <f>sumifs('25.06'!$H$7:$H$162,'25.06'!$G$7:$G$162,$B54,'25.06'!$F$7:$F$162,K$3)</f>
        <v>0</v>
      </c>
      <c r="L54" s="238">
        <f t="shared" si="1"/>
        <v>0</v>
      </c>
      <c r="M54" s="239"/>
      <c r="N54" s="239" t="str">
        <f t="shared" si="9"/>
        <v>#DIV/0!</v>
      </c>
      <c r="O54" s="239"/>
      <c r="P54" s="240"/>
      <c r="R54" s="237">
        <f>sumifs('25.06'!$H$7:$H$162,'25.06'!$I$7:$I$162,$B54,'25.06'!$J$7:$J$162,R$3)</f>
        <v>0</v>
      </c>
      <c r="S54" s="237">
        <f>sumifs('25.06'!$H$7:$H$162,'25.06'!$I$7:$I$162,$B54,'25.06'!$J$7:$J$162,S$3)</f>
        <v>0</v>
      </c>
      <c r="T54" s="237">
        <f>sumifs('25.06'!$H$7:$H$162,'25.06'!$I$7:$I$162,$B54,'25.06'!$J$7:$J$162,T$3)</f>
        <v>0</v>
      </c>
      <c r="U54" s="237">
        <f>sumifs('25.06'!$H$7:$H$162,'25.06'!$I$7:$I$162,$B54,'25.06'!$J$7:$J$162,U$3)</f>
        <v>0</v>
      </c>
      <c r="V54" s="237">
        <f>sumifs('25.06'!$H$7:$H$162,'25.06'!$I$7:$I$162,$B54,'25.06'!$J$7:$J$162,V$3)</f>
        <v>0</v>
      </c>
      <c r="W54" s="237">
        <f>sumifs('25.06'!$H$7:$H$162,'25.06'!$I$7:$I$162,$B54,'25.06'!$J$7:$J$162,W$3)</f>
        <v>0</v>
      </c>
      <c r="X54" s="237">
        <f>sumifs('25.06'!$H$7:$H$162,'25.06'!$I$7:$I$162,$B54,'25.06'!$J$7:$J$162,X$3)</f>
        <v>0</v>
      </c>
      <c r="Y54" s="237">
        <f>sumifs('25.06'!$H$7:$H$162,'25.06'!$I$7:$I$162,$B54,'25.06'!$J$7:$J$162,Y$3)</f>
        <v>0</v>
      </c>
      <c r="Z54" s="237">
        <f>sumifs('25.06'!$H$7:$H$162,'25.06'!$I$7:$I$162,$B54,'25.06'!$J$7:$J$162,Z$3)</f>
        <v>0</v>
      </c>
      <c r="AA54" s="238">
        <f t="shared" si="8"/>
        <v>0</v>
      </c>
    </row>
    <row r="55">
      <c r="A55" s="205">
        <v>6.0</v>
      </c>
      <c r="B55" s="206" t="s">
        <v>127</v>
      </c>
      <c r="C55" s="207">
        <f>sumifs('25.06'!$H$7:$H$162,'25.06'!$G$7:$G$162,$B55,'25.06'!$F$7:$F$162,C$3)</f>
        <v>0</v>
      </c>
      <c r="D55" s="207">
        <f>sumifs('25.06'!$H$7:$H$162,'25.06'!$G$7:$G$162,$B55,'25.06'!$F$7:$F$162,D$3)</f>
        <v>0</v>
      </c>
      <c r="E55" s="207">
        <f>sumifs('25.06'!$H$7:$H$162,'25.06'!$G$7:$G$162,$B55,'25.06'!$F$7:$F$162,E$3)</f>
        <v>0</v>
      </c>
      <c r="F55" s="207">
        <f>sumifs('25.06'!$H$7:$H$162,'25.06'!$G$7:$G$162,$B55,'25.06'!$F$7:$F$162,F$3)</f>
        <v>0</v>
      </c>
      <c r="G55" s="207">
        <f>sumifs('25.06'!$H$7:$H$162,'25.06'!$G$7:$G$162,$B55,'25.06'!$F$7:$F$162,G$3)</f>
        <v>0</v>
      </c>
      <c r="H55" s="207">
        <f>sumifs('25.06'!$H$7:$H$162,'25.06'!$G$7:$G$162,$B55,'25.06'!$F$7:$F$162,H$3)</f>
        <v>0</v>
      </c>
      <c r="I55" s="207">
        <f>sumifs('25.06'!$H$7:$H$162,'25.06'!$G$7:$G$162,$B55,'25.06'!$F$7:$F$162,I$3)</f>
        <v>0</v>
      </c>
      <c r="J55" s="207">
        <f>sumifs('25.06'!$H$7:$H$162,'25.06'!$G$7:$G$162,$B55,'25.06'!$F$7:$F$162,J$3)</f>
        <v>0</v>
      </c>
      <c r="K55" s="207">
        <f>sumifs('25.06'!$H$7:$H$162,'25.06'!$G$7:$G$162,$B55,'25.06'!$F$7:$F$162,K$3)</f>
        <v>0</v>
      </c>
      <c r="L55" s="208">
        <f t="shared" si="1"/>
        <v>0</v>
      </c>
      <c r="M55" s="209"/>
      <c r="N55" s="209" t="str">
        <f t="shared" ref="N55:N57" si="15">L55/sum(L$55:L$57)</f>
        <v>#DIV/0!</v>
      </c>
      <c r="O55" s="215"/>
      <c r="P55" s="241">
        <f>sum(L55:L57)</f>
        <v>0</v>
      </c>
      <c r="Q55" s="209" t="str">
        <f>P55/sum($P$4:$P$57)</f>
        <v>#DIV/0!</v>
      </c>
      <c r="R55" s="207">
        <f>sumifs('25.06'!$H$7:$H$162,'25.06'!$I$7:$I$162,$B55,'25.06'!$J$7:$J$162,R$3)</f>
        <v>0</v>
      </c>
      <c r="S55" s="207">
        <f>sumifs('25.06'!$H$7:$H$162,'25.06'!$I$7:$I$162,$B55,'25.06'!$J$7:$J$162,S$3)</f>
        <v>0</v>
      </c>
      <c r="T55" s="207">
        <f>sumifs('25.06'!$H$7:$H$162,'25.06'!$I$7:$I$162,$B55,'25.06'!$J$7:$J$162,T$3)</f>
        <v>0</v>
      </c>
      <c r="U55" s="207">
        <f>sumifs('25.06'!$H$7:$H$162,'25.06'!$I$7:$I$162,$B55,'25.06'!$J$7:$J$162,U$3)</f>
        <v>0</v>
      </c>
      <c r="V55" s="207">
        <f>sumifs('25.06'!$H$7:$H$162,'25.06'!$I$7:$I$162,$B55,'25.06'!$J$7:$J$162,V$3)</f>
        <v>0</v>
      </c>
      <c r="W55" s="207">
        <f>sumifs('25.06'!$H$7:$H$162,'25.06'!$I$7:$I$162,$B55,'25.06'!$J$7:$J$162,W$3)</f>
        <v>0</v>
      </c>
      <c r="X55" s="207">
        <f>sumifs('25.06'!$H$7:$H$162,'25.06'!$I$7:$I$162,$B55,'25.06'!$J$7:$J$162,X$3)</f>
        <v>0</v>
      </c>
      <c r="Y55" s="207">
        <f>sumifs('25.06'!$H$7:$H$162,'25.06'!$I$7:$I$162,$B55,'25.06'!$J$7:$J$162,Y$3)</f>
        <v>0</v>
      </c>
      <c r="Z55" s="207">
        <f>sumifs('25.06'!$H$7:$H$162,'25.06'!$I$7:$I$162,$B55,'25.06'!$J$7:$J$162,Z$3)</f>
        <v>0</v>
      </c>
      <c r="AA55" s="208">
        <f t="shared" si="8"/>
        <v>0</v>
      </c>
    </row>
    <row r="56">
      <c r="A56" s="211">
        <v>44932.0</v>
      </c>
      <c r="B56" s="212" t="s">
        <v>127</v>
      </c>
      <c r="C56" s="213">
        <f>sumifs('25.06'!$H$7:$H$162,'25.06'!$G$7:$G$162,$B56,'25.06'!$F$7:$F$162,C$3)</f>
        <v>0</v>
      </c>
      <c r="D56" s="213">
        <f>sumifs('25.06'!$H$7:$H$162,'25.06'!$G$7:$G$162,$B56,'25.06'!$F$7:$F$162,D$3)</f>
        <v>0</v>
      </c>
      <c r="E56" s="213">
        <f>sumifs('25.06'!$H$7:$H$162,'25.06'!$G$7:$G$162,$B56,'25.06'!$F$7:$F$162,E$3)</f>
        <v>0</v>
      </c>
      <c r="F56" s="213">
        <f>sumifs('25.06'!$H$7:$H$162,'25.06'!$G$7:$G$162,$B56,'25.06'!$F$7:$F$162,F$3)</f>
        <v>0</v>
      </c>
      <c r="G56" s="213">
        <f>sumifs('25.06'!$H$7:$H$162,'25.06'!$G$7:$G$162,$B56,'25.06'!$F$7:$F$162,G$3)</f>
        <v>0</v>
      </c>
      <c r="H56" s="213">
        <f>sumifs('25.06'!$H$7:$H$162,'25.06'!$G$7:$G$162,$B56,'25.06'!$F$7:$F$162,H$3)</f>
        <v>0</v>
      </c>
      <c r="I56" s="213">
        <f>sumifs('25.06'!$H$7:$H$162,'25.06'!$G$7:$G$162,$B56,'25.06'!$F$7:$F$162,I$3)</f>
        <v>0</v>
      </c>
      <c r="J56" s="213">
        <f>sumifs('25.06'!$H$7:$H$162,'25.06'!$G$7:$G$162,$B56,'25.06'!$F$7:$F$162,J$3)</f>
        <v>0</v>
      </c>
      <c r="K56" s="213">
        <f>sumifs('25.06'!$H$7:$H$162,'25.06'!$G$7:$G$162,$B56,'25.06'!$F$7:$F$162,K$3)</f>
        <v>0</v>
      </c>
      <c r="L56" s="214">
        <f t="shared" si="1"/>
        <v>0</v>
      </c>
      <c r="M56" s="215"/>
      <c r="N56" s="215" t="str">
        <f t="shared" si="15"/>
        <v>#DIV/0!</v>
      </c>
      <c r="O56" s="215"/>
      <c r="R56" s="213">
        <f>sumifs('25.06'!$H$7:$H$162,'25.06'!$I$7:$I$162,$B56,'25.06'!$J$7:$J$162,R$3)</f>
        <v>0</v>
      </c>
      <c r="S56" s="213">
        <f>sumifs('25.06'!$H$7:$H$162,'25.06'!$I$7:$I$162,$B56,'25.06'!$J$7:$J$162,S$3)</f>
        <v>0</v>
      </c>
      <c r="T56" s="213">
        <f>sumifs('25.06'!$H$7:$H$162,'25.06'!$I$7:$I$162,$B56,'25.06'!$J$7:$J$162,T$3)</f>
        <v>0</v>
      </c>
      <c r="U56" s="213">
        <f>sumifs('25.06'!$H$7:$H$162,'25.06'!$I$7:$I$162,$B56,'25.06'!$J$7:$J$162,U$3)</f>
        <v>0</v>
      </c>
      <c r="V56" s="213">
        <f>sumifs('25.06'!$H$7:$H$162,'25.06'!$I$7:$I$162,$B56,'25.06'!$J$7:$J$162,V$3)</f>
        <v>0</v>
      </c>
      <c r="W56" s="213">
        <f>sumifs('25.06'!$H$7:$H$162,'25.06'!$I$7:$I$162,$B56,'25.06'!$J$7:$J$162,W$3)</f>
        <v>0</v>
      </c>
      <c r="X56" s="213">
        <f>sumifs('25.06'!$H$7:$H$162,'25.06'!$I$7:$I$162,$B56,'25.06'!$J$7:$J$162,X$3)</f>
        <v>0</v>
      </c>
      <c r="Y56" s="213">
        <f>sumifs('25.06'!$H$7:$H$162,'25.06'!$I$7:$I$162,$B56,'25.06'!$J$7:$J$162,Y$3)</f>
        <v>0</v>
      </c>
      <c r="Z56" s="213">
        <f>sumifs('25.06'!$H$7:$H$162,'25.06'!$I$7:$I$162,$B56,'25.06'!$J$7:$J$162,Z$3)</f>
        <v>0</v>
      </c>
      <c r="AA56" s="214">
        <f t="shared" si="8"/>
        <v>0</v>
      </c>
    </row>
    <row r="57">
      <c r="A57" s="242">
        <v>44963.0</v>
      </c>
      <c r="B57" s="236" t="s">
        <v>128</v>
      </c>
      <c r="C57" s="237">
        <f>sumifs('25.06'!$H$7:$H$162,'25.06'!$G$7:$G$162,$B57,'25.06'!$F$7:$F$162,C$3)</f>
        <v>0</v>
      </c>
      <c r="D57" s="237">
        <f>sumifs('25.06'!$H$7:$H$162,'25.06'!$G$7:$G$162,$B57,'25.06'!$F$7:$F$162,D$3)</f>
        <v>0</v>
      </c>
      <c r="E57" s="237">
        <f>sumifs('25.06'!$H$7:$H$162,'25.06'!$G$7:$G$162,$B57,'25.06'!$F$7:$F$162,E$3)</f>
        <v>0</v>
      </c>
      <c r="F57" s="237">
        <f>sumifs('25.06'!$H$7:$H$162,'25.06'!$G$7:$G$162,$B57,'25.06'!$F$7:$F$162,F$3)</f>
        <v>0</v>
      </c>
      <c r="G57" s="237">
        <f>sumifs('25.06'!$H$7:$H$162,'25.06'!$G$7:$G$162,$B57,'25.06'!$F$7:$F$162,G$3)</f>
        <v>0</v>
      </c>
      <c r="H57" s="237">
        <f>sumifs('25.06'!$H$7:$H$162,'25.06'!$G$7:$G$162,$B57,'25.06'!$F$7:$F$162,H$3)</f>
        <v>0</v>
      </c>
      <c r="I57" s="237">
        <f>sumifs('25.06'!$H$7:$H$162,'25.06'!$G$7:$G$162,$B57,'25.06'!$F$7:$F$162,I$3)</f>
        <v>0</v>
      </c>
      <c r="J57" s="237">
        <f>sumifs('25.06'!$H$7:$H$162,'25.06'!$G$7:$G$162,$B57,'25.06'!$F$7:$F$162,J$3)</f>
        <v>0</v>
      </c>
      <c r="K57" s="237">
        <f>sumifs('25.06'!$H$7:$H$162,'25.06'!$G$7:$G$162,$B57,'25.06'!$F$7:$F$162,K$3)</f>
        <v>0</v>
      </c>
      <c r="L57" s="238">
        <f t="shared" si="1"/>
        <v>0</v>
      </c>
      <c r="M57" s="239"/>
      <c r="N57" s="239" t="str">
        <f t="shared" si="15"/>
        <v>#DIV/0!</v>
      </c>
      <c r="O57" s="239"/>
      <c r="P57" s="240"/>
      <c r="R57" s="237">
        <f>sumifs('25.06'!$H$7:$H$162,'25.06'!$I$7:$I$162,$B57,'25.06'!$J$7:$J$162,R$3)</f>
        <v>0</v>
      </c>
      <c r="S57" s="237">
        <f>sumifs('25.06'!$H$7:$H$162,'25.06'!$I$7:$I$162,$B57,'25.06'!$J$7:$J$162,S$3)</f>
        <v>0</v>
      </c>
      <c r="T57" s="237">
        <f>sumifs('25.06'!$H$7:$H$162,'25.06'!$I$7:$I$162,$B57,'25.06'!$J$7:$J$162,T$3)</f>
        <v>0</v>
      </c>
      <c r="U57" s="237">
        <f>sumifs('25.06'!$H$7:$H$162,'25.06'!$I$7:$I$162,$B57,'25.06'!$J$7:$J$162,U$3)</f>
        <v>0</v>
      </c>
      <c r="V57" s="237">
        <f>sumifs('25.06'!$H$7:$H$162,'25.06'!$I$7:$I$162,$B57,'25.06'!$J$7:$J$162,V$3)</f>
        <v>0</v>
      </c>
      <c r="W57" s="237">
        <f>sumifs('25.06'!$H$7:$H$162,'25.06'!$I$7:$I$162,$B57,'25.06'!$J$7:$J$162,W$3)</f>
        <v>0</v>
      </c>
      <c r="X57" s="237">
        <f>sumifs('25.06'!$H$7:$H$162,'25.06'!$I$7:$I$162,$B57,'25.06'!$J$7:$J$162,X$3)</f>
        <v>0</v>
      </c>
      <c r="Y57" s="237">
        <f>sumifs('25.06'!$H$7:$H$162,'25.06'!$I$7:$I$162,$B57,'25.06'!$J$7:$J$162,Y$3)</f>
        <v>0</v>
      </c>
      <c r="Z57" s="237">
        <f>sumifs('25.06'!$H$7:$H$162,'25.06'!$I$7:$I$162,$B57,'25.06'!$J$7:$J$162,Z$3)</f>
        <v>0</v>
      </c>
      <c r="AA57" s="238">
        <f t="shared" si="8"/>
        <v>0</v>
      </c>
    </row>
    <row r="58">
      <c r="A58" s="243">
        <v>7.0</v>
      </c>
      <c r="B58" s="206" t="s">
        <v>129</v>
      </c>
      <c r="C58" s="207">
        <f>sumifs('25.06'!$H$7:$H$162,'25.06'!$G$7:$G$162,$B58,'25.06'!$F$7:$F$162,C$3)</f>
        <v>0</v>
      </c>
      <c r="D58" s="207">
        <f>sumifs('25.06'!$H$7:$H$162,'25.06'!$G$7:$G$162,$B58,'25.06'!$F$7:$F$162,D$3)</f>
        <v>0</v>
      </c>
      <c r="E58" s="207">
        <f>sumifs('25.06'!$H$7:$H$162,'25.06'!$G$7:$G$162,$B58,'25.06'!$F$7:$F$162,E$3)</f>
        <v>0</v>
      </c>
      <c r="F58" s="207">
        <f>sumifs('25.06'!$H$7:$H$162,'25.06'!$G$7:$G$162,$B58,'25.06'!$F$7:$F$162,F$3)</f>
        <v>0</v>
      </c>
      <c r="G58" s="207">
        <f>sumifs('25.06'!$H$7:$H$162,'25.06'!$G$7:$G$162,$B58,'25.06'!$F$7:$F$162,G$3)</f>
        <v>0</v>
      </c>
      <c r="H58" s="207">
        <f>sumifs('25.06'!$H$7:$H$162,'25.06'!$G$7:$G$162,$B58,'25.06'!$F$7:$F$162,H$3)</f>
        <v>0</v>
      </c>
      <c r="I58" s="207">
        <f>sumifs('25.06'!$H$7:$H$162,'25.06'!$G$7:$G$162,$B58,'25.06'!$F$7:$F$162,I$3)</f>
        <v>0</v>
      </c>
      <c r="J58" s="207">
        <f>sumifs('25.06'!$H$7:$H$162,'25.06'!$G$7:$G$162,$B58,'25.06'!$F$7:$F$162,J$3)</f>
        <v>0</v>
      </c>
      <c r="K58" s="207">
        <f>sumifs('25.06'!$H$7:$H$162,'25.06'!$G$7:$G$162,$B58,'25.06'!$F$7:$F$162,K$3)</f>
        <v>0</v>
      </c>
      <c r="L58" s="208">
        <f t="shared" si="1"/>
        <v>0</v>
      </c>
      <c r="M58" s="209"/>
      <c r="N58" s="209" t="str">
        <f t="shared" ref="N58:N60" si="16">L58/sum(L$58:L$60)</f>
        <v>#DIV/0!</v>
      </c>
      <c r="O58" s="215"/>
      <c r="P58" s="215"/>
      <c r="Q58" s="215"/>
      <c r="R58" s="207">
        <f>sumifs('25.06'!$H$7:$H$162,'25.06'!$I$7:$I$162,$B58,'25.06'!$J$7:$J$162,R$3)</f>
        <v>0</v>
      </c>
      <c r="S58" s="207">
        <f>sumifs('25.06'!$H$7:$H$162,'25.06'!$I$7:$I$162,$B58,'25.06'!$J$7:$J$162,S$3)</f>
        <v>0</v>
      </c>
      <c r="T58" s="207">
        <f>sumifs('25.06'!$H$7:$H$162,'25.06'!$I$7:$I$162,$B58,'25.06'!$J$7:$J$162,T$3)</f>
        <v>0</v>
      </c>
      <c r="U58" s="207">
        <f>sumifs('25.06'!$H$7:$H$162,'25.06'!$I$7:$I$162,$B58,'25.06'!$J$7:$J$162,U$3)</f>
        <v>0</v>
      </c>
      <c r="V58" s="207">
        <f>sumifs('25.06'!$H$7:$H$162,'25.06'!$I$7:$I$162,$B58,'25.06'!$J$7:$J$162,V$3)</f>
        <v>0</v>
      </c>
      <c r="W58" s="207">
        <f>sumifs('25.06'!$H$7:$H$162,'25.06'!$I$7:$I$162,$B58,'25.06'!$J$7:$J$162,W$3)</f>
        <v>0</v>
      </c>
      <c r="X58" s="207">
        <f>sumifs('25.06'!$H$7:$H$162,'25.06'!$I$7:$I$162,$B58,'25.06'!$J$7:$J$162,X$3)</f>
        <v>0</v>
      </c>
      <c r="Y58" s="207">
        <f>sumifs('25.06'!$H$7:$H$162,'25.06'!$I$7:$I$162,$B58,'25.06'!$J$7:$J$162,Y$3)</f>
        <v>0</v>
      </c>
      <c r="Z58" s="207">
        <f>sumifs('25.06'!$H$7:$H$162,'25.06'!$I$7:$I$162,$B58,'25.06'!$J$7:$J$162,Z$3)</f>
        <v>0</v>
      </c>
      <c r="AA58" s="208">
        <f t="shared" si="8"/>
        <v>0</v>
      </c>
    </row>
    <row r="59">
      <c r="A59" s="211">
        <v>44933.0</v>
      </c>
      <c r="B59" s="212" t="s">
        <v>130</v>
      </c>
      <c r="C59" s="213">
        <f>sumifs('25.06'!$H$7:$H$162,'25.06'!$G$7:$G$162,$B59,'25.06'!$F$7:$F$162,C$3)</f>
        <v>0</v>
      </c>
      <c r="D59" s="213">
        <f>sumifs('25.06'!$H$7:$H$162,'25.06'!$G$7:$G$162,$B59,'25.06'!$F$7:$F$162,D$3)</f>
        <v>0</v>
      </c>
      <c r="E59" s="213">
        <f>sumifs('25.06'!$H$7:$H$162,'25.06'!$G$7:$G$162,$B59,'25.06'!$F$7:$F$162,E$3)</f>
        <v>0</v>
      </c>
      <c r="F59" s="213">
        <f>sumifs('25.06'!$H$7:$H$162,'25.06'!$G$7:$G$162,$B59,'25.06'!$F$7:$F$162,F$3)</f>
        <v>0</v>
      </c>
      <c r="G59" s="213">
        <f>sumifs('25.06'!$H$7:$H$162,'25.06'!$G$7:$G$162,$B59,'25.06'!$F$7:$F$162,G$3)</f>
        <v>0</v>
      </c>
      <c r="H59" s="213">
        <f>sumifs('25.06'!$H$7:$H$162,'25.06'!$G$7:$G$162,$B59,'25.06'!$F$7:$F$162,H$3)</f>
        <v>0</v>
      </c>
      <c r="I59" s="213">
        <f>sumifs('25.06'!$H$7:$H$162,'25.06'!$G$7:$G$162,$B59,'25.06'!$F$7:$F$162,I$3)</f>
        <v>0</v>
      </c>
      <c r="J59" s="213">
        <f>sumifs('25.06'!$H$7:$H$162,'25.06'!$G$7:$G$162,$B59,'25.06'!$F$7:$F$162,J$3)</f>
        <v>0</v>
      </c>
      <c r="K59" s="213">
        <f>sumifs('25.06'!$H$7:$H$162,'25.06'!$G$7:$G$162,$B59,'25.06'!$F$7:$F$162,K$3)</f>
        <v>0</v>
      </c>
      <c r="L59" s="214">
        <f t="shared" si="1"/>
        <v>0</v>
      </c>
      <c r="M59" s="215"/>
      <c r="N59" s="215" t="str">
        <f t="shared" si="16"/>
        <v>#DIV/0!</v>
      </c>
      <c r="O59" s="215"/>
      <c r="P59" s="215"/>
      <c r="Q59" s="215"/>
      <c r="R59" s="213">
        <f>sumifs('25.06'!$H$7:$H$162,'25.06'!$I$7:$I$162,$B59,'25.06'!$J$7:$J$162,R$3)</f>
        <v>0</v>
      </c>
      <c r="S59" s="213">
        <f>sumifs('25.06'!$H$7:$H$162,'25.06'!$I$7:$I$162,$B59,'25.06'!$J$7:$J$162,S$3)</f>
        <v>0</v>
      </c>
      <c r="T59" s="213">
        <f>sumifs('25.06'!$H$7:$H$162,'25.06'!$I$7:$I$162,$B59,'25.06'!$J$7:$J$162,T$3)</f>
        <v>0</v>
      </c>
      <c r="U59" s="213">
        <f>sumifs('25.06'!$H$7:$H$162,'25.06'!$I$7:$I$162,$B59,'25.06'!$J$7:$J$162,U$3)</f>
        <v>0</v>
      </c>
      <c r="V59" s="213">
        <f>sumifs('25.06'!$H$7:$H$162,'25.06'!$I$7:$I$162,$B59,'25.06'!$J$7:$J$162,V$3)</f>
        <v>0</v>
      </c>
      <c r="W59" s="213">
        <f>sumifs('25.06'!$H$7:$H$162,'25.06'!$I$7:$I$162,$B59,'25.06'!$J$7:$J$162,W$3)</f>
        <v>0</v>
      </c>
      <c r="X59" s="213">
        <f>sumifs('25.06'!$H$7:$H$162,'25.06'!$I$7:$I$162,$B59,'25.06'!$J$7:$J$162,X$3)</f>
        <v>0</v>
      </c>
      <c r="Y59" s="213">
        <f>sumifs('25.06'!$H$7:$H$162,'25.06'!$I$7:$I$162,$B59,'25.06'!$J$7:$J$162,Y$3)</f>
        <v>0</v>
      </c>
      <c r="Z59" s="213">
        <f>sumifs('25.06'!$H$7:$H$162,'25.06'!$I$7:$I$162,$B59,'25.06'!$J$7:$J$162,Z$3)</f>
        <v>0</v>
      </c>
      <c r="AA59" s="214">
        <f t="shared" si="8"/>
        <v>0</v>
      </c>
    </row>
    <row r="60">
      <c r="A60" s="242">
        <v>44964.0</v>
      </c>
      <c r="B60" s="236" t="s">
        <v>131</v>
      </c>
      <c r="C60" s="237">
        <f>sumifs('25.06'!$H$7:$H$162,'25.06'!$G$7:$G$162,$B60,'25.06'!$F$7:$F$162,C$3)</f>
        <v>0</v>
      </c>
      <c r="D60" s="237">
        <f>sumifs('25.06'!$H$7:$H$162,'25.06'!$G$7:$G$162,$B60,'25.06'!$F$7:$F$162,D$3)</f>
        <v>0</v>
      </c>
      <c r="E60" s="237">
        <f>sumifs('25.06'!$H$7:$H$162,'25.06'!$G$7:$G$162,$B60,'25.06'!$F$7:$F$162,E$3)</f>
        <v>0</v>
      </c>
      <c r="F60" s="237">
        <f>sumifs('25.06'!$H$7:$H$162,'25.06'!$G$7:$G$162,$B60,'25.06'!$F$7:$F$162,F$3)</f>
        <v>0</v>
      </c>
      <c r="G60" s="237">
        <f>sumifs('25.06'!$H$7:$H$162,'25.06'!$G$7:$G$162,$B60,'25.06'!$F$7:$F$162,G$3)</f>
        <v>0</v>
      </c>
      <c r="H60" s="237">
        <f>sumifs('25.06'!$H$7:$H$162,'25.06'!$G$7:$G$162,$B60,'25.06'!$F$7:$F$162,H$3)</f>
        <v>0</v>
      </c>
      <c r="I60" s="237">
        <f>sumifs('25.06'!$H$7:$H$162,'25.06'!$G$7:$G$162,$B60,'25.06'!$F$7:$F$162,I$3)</f>
        <v>0</v>
      </c>
      <c r="J60" s="237">
        <f>sumifs('25.06'!$H$7:$H$162,'25.06'!$G$7:$G$162,$B60,'25.06'!$F$7:$F$162,J$3)</f>
        <v>0</v>
      </c>
      <c r="K60" s="237">
        <f>sumifs('25.06'!$H$7:$H$162,'25.06'!$G$7:$G$162,$B60,'25.06'!$F$7:$F$162,K$3)</f>
        <v>0</v>
      </c>
      <c r="L60" s="238">
        <f t="shared" si="1"/>
        <v>0</v>
      </c>
      <c r="M60" s="239"/>
      <c r="N60" s="239" t="str">
        <f t="shared" si="16"/>
        <v>#DIV/0!</v>
      </c>
      <c r="O60" s="239"/>
      <c r="P60" s="239"/>
      <c r="Q60" s="239"/>
      <c r="R60" s="237">
        <f>sumifs('25.06'!$H$7:$H$162,'25.06'!$I$7:$I$162,$B60,'25.06'!$J$7:$J$162,R$3)</f>
        <v>0</v>
      </c>
      <c r="S60" s="237">
        <f>sumifs('25.06'!$H$7:$H$162,'25.06'!$I$7:$I$162,$B60,'25.06'!$J$7:$J$162,S$3)</f>
        <v>0</v>
      </c>
      <c r="T60" s="237">
        <f>sumifs('25.06'!$H$7:$H$162,'25.06'!$I$7:$I$162,$B60,'25.06'!$J$7:$J$162,T$3)</f>
        <v>0</v>
      </c>
      <c r="U60" s="237">
        <f>sumifs('25.06'!$H$7:$H$162,'25.06'!$I$7:$I$162,$B60,'25.06'!$J$7:$J$162,U$3)</f>
        <v>0</v>
      </c>
      <c r="V60" s="237">
        <f>sumifs('25.06'!$H$7:$H$162,'25.06'!$I$7:$I$162,$B60,'25.06'!$J$7:$J$162,V$3)</f>
        <v>0</v>
      </c>
      <c r="W60" s="237">
        <f>sumifs('25.06'!$H$7:$H$162,'25.06'!$I$7:$I$162,$B60,'25.06'!$J$7:$J$162,W$3)</f>
        <v>0</v>
      </c>
      <c r="X60" s="237">
        <f>sumifs('25.06'!$H$7:$H$162,'25.06'!$I$7:$I$162,$B60,'25.06'!$J$7:$J$162,X$3)</f>
        <v>0</v>
      </c>
      <c r="Y60" s="237">
        <f>sumifs('25.06'!$H$7:$H$162,'25.06'!$I$7:$I$162,$B60,'25.06'!$J$7:$J$162,Y$3)</f>
        <v>0</v>
      </c>
      <c r="Z60" s="237">
        <f>sumifs('25.06'!$H$7:$H$162,'25.06'!$I$7:$I$162,$B60,'25.06'!$J$7:$J$162,Z$3)</f>
        <v>0</v>
      </c>
      <c r="AA60" s="238">
        <f t="shared" si="8"/>
        <v>0</v>
      </c>
    </row>
    <row r="61">
      <c r="A61" s="244">
        <v>8.0</v>
      </c>
      <c r="B61" s="245" t="s">
        <v>16</v>
      </c>
      <c r="C61" s="246">
        <f>sumifs('25.06'!$H$7:$H$162,'25.06'!$G$7:$G$162,$B61,'25.06'!$F$7:$F$162,C$3)</f>
        <v>0</v>
      </c>
      <c r="D61" s="246">
        <f>sumifs('25.06'!$H$7:$H$162,'25.06'!$G$7:$G$162,$B61,'25.06'!$F$7:$F$162,D$3)</f>
        <v>0</v>
      </c>
      <c r="E61" s="246">
        <f>sumifs('25.06'!$H$7:$H$162,'25.06'!$G$7:$G$162,$B61,'25.06'!$F$7:$F$162,E$3)</f>
        <v>16730000</v>
      </c>
      <c r="F61" s="246">
        <f>sumifs('25.06'!$H$7:$H$162,'25.06'!$G$7:$G$162,$B61,'25.06'!$F$7:$F$162,F$3)</f>
        <v>0</v>
      </c>
      <c r="G61" s="246">
        <f>sumifs('25.06'!$H$7:$H$162,'25.06'!$G$7:$G$162,$B61,'25.06'!$F$7:$F$162,G$3)</f>
        <v>0</v>
      </c>
      <c r="H61" s="246">
        <f>sumifs('25.06'!$H$7:$H$162,'25.06'!$G$7:$G$162,$B61,'25.06'!$F$7:$F$162,H$3)</f>
        <v>0</v>
      </c>
      <c r="I61" s="246">
        <f>sumifs('25.06'!$H$7:$H$162,'25.06'!$G$7:$G$162,$B61,'25.06'!$F$7:$F$162,I$3)</f>
        <v>0</v>
      </c>
      <c r="J61" s="246">
        <f>sumifs('25.06'!$H$7:$H$162,'25.06'!$G$7:$G$162,$B61,'25.06'!$F$7:$F$162,J$3)</f>
        <v>0</v>
      </c>
      <c r="K61" s="246">
        <f>sumifs('25.06'!$H$7:$H$162,'25.06'!$G$7:$G$162,$B61,'25.06'!$F$7:$F$162,K$3)</f>
        <v>0</v>
      </c>
      <c r="L61" s="214">
        <f t="shared" si="1"/>
        <v>16730000</v>
      </c>
      <c r="M61" s="215"/>
      <c r="N61" s="215">
        <f t="shared" ref="N61:N69" si="17">L61/sum(L$61:L$69)</f>
        <v>0.749936549</v>
      </c>
      <c r="O61" s="215"/>
      <c r="P61" s="215"/>
      <c r="Q61" s="215"/>
      <c r="R61" s="246">
        <f>sumifs('25.06'!$H$7:$H$162,'25.06'!$I$7:$I$162,$B61,'25.06'!$J$7:$J$162,R$3)</f>
        <v>0</v>
      </c>
      <c r="S61" s="246">
        <f>sumifs('25.06'!$H$7:$H$162,'25.06'!$I$7:$I$162,$B61,'25.06'!$J$7:$J$162,S$3)</f>
        <v>0</v>
      </c>
      <c r="T61" s="246">
        <f>sumifs('25.06'!$H$7:$H$162,'25.06'!$I$7:$I$162,$B61,'25.06'!$J$7:$J$162,T$3)</f>
        <v>80000000</v>
      </c>
      <c r="U61" s="246">
        <f>sumifs('25.06'!$H$7:$H$162,'25.06'!$I$7:$I$162,$B61,'25.06'!$J$7:$J$162,U$3)</f>
        <v>0</v>
      </c>
      <c r="V61" s="246">
        <f>sumifs('25.06'!$H$7:$H$162,'25.06'!$I$7:$I$162,$B61,'25.06'!$J$7:$J$162,V$3)</f>
        <v>0</v>
      </c>
      <c r="W61" s="246">
        <f>sumifs('25.06'!$H$7:$H$162,'25.06'!$I$7:$I$162,$B61,'25.06'!$J$7:$J$162,W$3)</f>
        <v>0</v>
      </c>
      <c r="X61" s="246">
        <f>sumifs('25.06'!$H$7:$H$162,'25.06'!$I$7:$I$162,$B61,'25.06'!$J$7:$J$162,X$3)</f>
        <v>0</v>
      </c>
      <c r="Y61" s="246">
        <f>sumifs('25.06'!$H$7:$H$162,'25.06'!$I$7:$I$162,$B61,'25.06'!$J$7:$J$162,Y$3)</f>
        <v>0</v>
      </c>
      <c r="Z61" s="246">
        <f>sumifs('25.06'!$H$7:$H$162,'25.06'!$I$7:$I$162,$B61,'25.06'!$J$7:$J$162,Z$3)</f>
        <v>0</v>
      </c>
      <c r="AA61" s="214">
        <f t="shared" si="8"/>
        <v>80000000</v>
      </c>
    </row>
    <row r="62">
      <c r="A62" s="211">
        <v>44934.0</v>
      </c>
      <c r="B62" s="212" t="s">
        <v>21</v>
      </c>
      <c r="C62" s="213">
        <f>sumifs('25.06'!$H$7:$H$162,'25.06'!$G$7:$G$162,$B62,'25.06'!$F$7:$F$162,C$3)</f>
        <v>0</v>
      </c>
      <c r="D62" s="213">
        <f>sumifs('25.06'!$H$7:$H$162,'25.06'!$G$7:$G$162,$B62,'25.06'!$F$7:$F$162,D$3)</f>
        <v>0</v>
      </c>
      <c r="E62" s="213">
        <f>sumifs('25.06'!$H$7:$H$162,'25.06'!$G$7:$G$162,$B62,'25.06'!$F$7:$F$162,E$3)</f>
        <v>4544704</v>
      </c>
      <c r="F62" s="213">
        <f>sumifs('25.06'!$H$7:$H$162,'25.06'!$G$7:$G$162,$B62,'25.06'!$F$7:$F$162,F$3)</f>
        <v>0</v>
      </c>
      <c r="G62" s="213">
        <f>sumifs('25.06'!$H$7:$H$162,'25.06'!$G$7:$G$162,$B62,'25.06'!$F$7:$F$162,G$3)</f>
        <v>0</v>
      </c>
      <c r="H62" s="213">
        <f>sumifs('25.06'!$H$7:$H$162,'25.06'!$G$7:$G$162,$B62,'25.06'!$F$7:$F$162,H$3)</f>
        <v>0</v>
      </c>
      <c r="I62" s="213">
        <f>sumifs('25.06'!$H$7:$H$162,'25.06'!$G$7:$G$162,$B62,'25.06'!$F$7:$F$162,I$3)</f>
        <v>0</v>
      </c>
      <c r="J62" s="213">
        <f>sumifs('25.06'!$H$7:$H$162,'25.06'!$G$7:$G$162,$B62,'25.06'!$F$7:$F$162,J$3)</f>
        <v>0</v>
      </c>
      <c r="K62" s="213">
        <f>sumifs('25.06'!$H$7:$H$162,'25.06'!$G$7:$G$162,$B62,'25.06'!$F$7:$F$162,K$3)</f>
        <v>0</v>
      </c>
      <c r="L62" s="214">
        <f t="shared" si="1"/>
        <v>4544704</v>
      </c>
      <c r="M62" s="215"/>
      <c r="N62" s="215">
        <f t="shared" si="17"/>
        <v>0.2037202411</v>
      </c>
      <c r="O62" s="215"/>
      <c r="P62" s="215"/>
      <c r="Q62" s="241">
        <f>L62+L63</f>
        <v>5578554</v>
      </c>
      <c r="R62" s="213">
        <f>sumifs('25.06'!$H$7:$H$162,'25.06'!$I$7:$I$162,$B62,'25.06'!$J$7:$J$162,R$3)</f>
        <v>0</v>
      </c>
      <c r="S62" s="213">
        <f>sumifs('25.06'!$H$7:$H$162,'25.06'!$I$7:$I$162,$B62,'25.06'!$J$7:$J$162,S$3)</f>
        <v>0</v>
      </c>
      <c r="T62" s="213">
        <f>sumifs('25.06'!$H$7:$H$162,'25.06'!$I$7:$I$162,$B62,'25.06'!$J$7:$J$162,T$3)</f>
        <v>4157000</v>
      </c>
      <c r="U62" s="213">
        <f>sumifs('25.06'!$H$7:$H$162,'25.06'!$I$7:$I$162,$B62,'25.06'!$J$7:$J$162,U$3)</f>
        <v>0</v>
      </c>
      <c r="V62" s="213">
        <f>sumifs('25.06'!$H$7:$H$162,'25.06'!$I$7:$I$162,$B62,'25.06'!$J$7:$J$162,V$3)</f>
        <v>0</v>
      </c>
      <c r="W62" s="213">
        <f>sumifs('25.06'!$H$7:$H$162,'25.06'!$I$7:$I$162,$B62,'25.06'!$J$7:$J$162,W$3)</f>
        <v>0</v>
      </c>
      <c r="X62" s="213">
        <f>sumifs('25.06'!$H$7:$H$162,'25.06'!$I$7:$I$162,$B62,'25.06'!$J$7:$J$162,X$3)</f>
        <v>0</v>
      </c>
      <c r="Y62" s="213">
        <f>sumifs('25.06'!$H$7:$H$162,'25.06'!$I$7:$I$162,$B62,'25.06'!$J$7:$J$162,Y$3)</f>
        <v>0</v>
      </c>
      <c r="Z62" s="213">
        <f>sumifs('25.06'!$H$7:$H$162,'25.06'!$I$7:$I$162,$B62,'25.06'!$J$7:$J$162,Z$3)</f>
        <v>0</v>
      </c>
      <c r="AA62" s="214">
        <f t="shared" si="8"/>
        <v>4157000</v>
      </c>
    </row>
    <row r="63">
      <c r="A63" s="211">
        <v>44965.0</v>
      </c>
      <c r="B63" s="212" t="s">
        <v>19</v>
      </c>
      <c r="C63" s="213">
        <f>sumifs('25.06'!$H$7:$H$162,'25.06'!$G$7:$G$162,$B63,'25.06'!$F$7:$F$162,C$3)</f>
        <v>0</v>
      </c>
      <c r="D63" s="213">
        <f>sumifs('25.06'!$H$7:$H$162,'25.06'!$G$7:$G$162,$B63,'25.06'!$F$7:$F$162,D$3)</f>
        <v>0</v>
      </c>
      <c r="E63" s="213">
        <f>sumifs('25.06'!$H$7:$H$162,'25.06'!$G$7:$G$162,$B63,'25.06'!$F$7:$F$162,E$3)</f>
        <v>1033850</v>
      </c>
      <c r="F63" s="213">
        <f>sumifs('25.06'!$H$7:$H$162,'25.06'!$G$7:$G$162,$B63,'25.06'!$F$7:$F$162,F$3)</f>
        <v>0</v>
      </c>
      <c r="G63" s="213">
        <f>sumifs('25.06'!$H$7:$H$162,'25.06'!$G$7:$G$162,$B63,'25.06'!$F$7:$F$162,G$3)</f>
        <v>0</v>
      </c>
      <c r="H63" s="213">
        <f>sumifs('25.06'!$H$7:$H$162,'25.06'!$G$7:$G$162,$B63,'25.06'!$F$7:$F$162,H$3)</f>
        <v>0</v>
      </c>
      <c r="I63" s="213">
        <f>sumifs('25.06'!$H$7:$H$162,'25.06'!$G$7:$G$162,$B63,'25.06'!$F$7:$F$162,I$3)</f>
        <v>0</v>
      </c>
      <c r="J63" s="213">
        <f>sumifs('25.06'!$H$7:$H$162,'25.06'!$G$7:$G$162,$B63,'25.06'!$F$7:$F$162,J$3)</f>
        <v>0</v>
      </c>
      <c r="K63" s="213">
        <f>sumifs('25.06'!$H$7:$H$162,'25.06'!$G$7:$G$162,$B63,'25.06'!$F$7:$F$162,K$3)</f>
        <v>0</v>
      </c>
      <c r="L63" s="214">
        <f t="shared" si="1"/>
        <v>1033850</v>
      </c>
      <c r="M63" s="215"/>
      <c r="N63" s="215">
        <f t="shared" si="17"/>
        <v>0.04634320987</v>
      </c>
      <c r="O63" s="215"/>
      <c r="P63" s="215"/>
      <c r="Q63" s="241">
        <f>AA62+AA63</f>
        <v>4157000</v>
      </c>
      <c r="R63" s="213">
        <f>sumifs('25.06'!$H$7:$H$162,'25.06'!$I$7:$I$162,$B63,'25.06'!$J$7:$J$162,R$3)</f>
        <v>0</v>
      </c>
      <c r="S63" s="213">
        <f>sumifs('25.06'!$H$7:$H$162,'25.06'!$I$7:$I$162,$B63,'25.06'!$J$7:$J$162,S$3)</f>
        <v>0</v>
      </c>
      <c r="T63" s="213">
        <f>sumifs('25.06'!$H$7:$H$162,'25.06'!$I$7:$I$162,$B63,'25.06'!$J$7:$J$162,T$3)</f>
        <v>0</v>
      </c>
      <c r="U63" s="213">
        <f>sumifs('25.06'!$H$7:$H$162,'25.06'!$I$7:$I$162,$B63,'25.06'!$J$7:$J$162,U$3)</f>
        <v>0</v>
      </c>
      <c r="V63" s="213">
        <f>sumifs('25.06'!$H$7:$H$162,'25.06'!$I$7:$I$162,$B63,'25.06'!$J$7:$J$162,V$3)</f>
        <v>0</v>
      </c>
      <c r="W63" s="213">
        <f>sumifs('25.06'!$H$7:$H$162,'25.06'!$I$7:$I$162,$B63,'25.06'!$J$7:$J$162,W$3)</f>
        <v>0</v>
      </c>
      <c r="X63" s="213">
        <f>sumifs('25.06'!$H$7:$H$162,'25.06'!$I$7:$I$162,$B63,'25.06'!$J$7:$J$162,X$3)</f>
        <v>0</v>
      </c>
      <c r="Y63" s="213">
        <f>sumifs('25.06'!$H$7:$H$162,'25.06'!$I$7:$I$162,$B63,'25.06'!$J$7:$J$162,Y$3)</f>
        <v>0</v>
      </c>
      <c r="Z63" s="213">
        <f>sumifs('25.06'!$H$7:$H$162,'25.06'!$I$7:$I$162,$B63,'25.06'!$J$7:$J$162,Z$3)</f>
        <v>0</v>
      </c>
      <c r="AA63" s="214">
        <f t="shared" si="8"/>
        <v>0</v>
      </c>
    </row>
    <row r="64">
      <c r="A64" s="211">
        <v>44993.0</v>
      </c>
      <c r="B64" s="212" t="s">
        <v>132</v>
      </c>
      <c r="C64" s="213">
        <f>sumifs('25.06'!$H$7:$H$162,'25.06'!$G$7:$G$162,$B64,'25.06'!$F$7:$F$162,C$3)</f>
        <v>0</v>
      </c>
      <c r="D64" s="213">
        <f>sumifs('25.06'!$H$7:$H$162,'25.06'!$G$7:$G$162,$B64,'25.06'!$F$7:$F$162,D$3)</f>
        <v>0</v>
      </c>
      <c r="E64" s="213">
        <f>sumifs('25.06'!$H$7:$H$162,'25.06'!$G$7:$G$162,$B64,'25.06'!$F$7:$F$162,E$3)</f>
        <v>0</v>
      </c>
      <c r="F64" s="213">
        <f>sumifs('25.06'!$H$7:$H$162,'25.06'!$G$7:$G$162,$B64,'25.06'!$F$7:$F$162,F$3)</f>
        <v>0</v>
      </c>
      <c r="G64" s="213">
        <f>sumifs('25.06'!$H$7:$H$162,'25.06'!$G$7:$G$162,$B64,'25.06'!$F$7:$F$162,G$3)</f>
        <v>0</v>
      </c>
      <c r="H64" s="213">
        <f>sumifs('25.06'!$H$7:$H$162,'25.06'!$G$7:$G$162,$B64,'25.06'!$F$7:$F$162,H$3)</f>
        <v>0</v>
      </c>
      <c r="I64" s="213">
        <f>sumifs('25.06'!$H$7:$H$162,'25.06'!$G$7:$G$162,$B64,'25.06'!$F$7:$F$162,I$3)</f>
        <v>0</v>
      </c>
      <c r="J64" s="213">
        <f>sumifs('25.06'!$H$7:$H$162,'25.06'!$G$7:$G$162,$B64,'25.06'!$F$7:$F$162,J$3)</f>
        <v>0</v>
      </c>
      <c r="K64" s="213">
        <f>sumifs('25.06'!$H$7:$H$162,'25.06'!$G$7:$G$162,$B64,'25.06'!$F$7:$F$162,K$3)</f>
        <v>0</v>
      </c>
      <c r="L64" s="214">
        <f t="shared" si="1"/>
        <v>0</v>
      </c>
      <c r="M64" s="215"/>
      <c r="N64" s="215">
        <f t="shared" si="17"/>
        <v>0</v>
      </c>
      <c r="O64" s="215"/>
      <c r="P64" s="215"/>
      <c r="Q64" s="247">
        <f>Q62-Q63</f>
        <v>1421554</v>
      </c>
      <c r="R64" s="213">
        <f>sumifs('25.06'!$H$7:$H$162,'25.06'!$I$7:$I$162,$B64,'25.06'!$J$7:$J$162,R$3)</f>
        <v>0</v>
      </c>
      <c r="S64" s="213">
        <f>sumifs('25.06'!$H$7:$H$162,'25.06'!$I$7:$I$162,$B64,'25.06'!$J$7:$J$162,S$3)</f>
        <v>0</v>
      </c>
      <c r="T64" s="213">
        <f>sumifs('25.06'!$H$7:$H$162,'25.06'!$I$7:$I$162,$B64,'25.06'!$J$7:$J$162,T$3)</f>
        <v>0</v>
      </c>
      <c r="U64" s="213">
        <f>sumifs('25.06'!$H$7:$H$162,'25.06'!$I$7:$I$162,$B64,'25.06'!$J$7:$J$162,U$3)</f>
        <v>0</v>
      </c>
      <c r="V64" s="213">
        <f>sumifs('25.06'!$H$7:$H$162,'25.06'!$I$7:$I$162,$B64,'25.06'!$J$7:$J$162,V$3)</f>
        <v>0</v>
      </c>
      <c r="W64" s="213">
        <f>sumifs('25.06'!$H$7:$H$162,'25.06'!$I$7:$I$162,$B64,'25.06'!$J$7:$J$162,W$3)</f>
        <v>0</v>
      </c>
      <c r="X64" s="213">
        <f>sumifs('25.06'!$H$7:$H$162,'25.06'!$I$7:$I$162,$B64,'25.06'!$J$7:$J$162,X$3)</f>
        <v>0</v>
      </c>
      <c r="Y64" s="213">
        <f>sumifs('25.06'!$H$7:$H$162,'25.06'!$I$7:$I$162,$B64,'25.06'!$J$7:$J$162,Y$3)</f>
        <v>0</v>
      </c>
      <c r="Z64" s="213">
        <f>sumifs('25.06'!$H$7:$H$162,'25.06'!$I$7:$I$162,$B64,'25.06'!$J$7:$J$162,Z$3)</f>
        <v>0</v>
      </c>
      <c r="AA64" s="214">
        <f t="shared" si="8"/>
        <v>0</v>
      </c>
    </row>
    <row r="65">
      <c r="A65" s="211">
        <v>45024.0</v>
      </c>
      <c r="B65" s="212" t="s">
        <v>133</v>
      </c>
      <c r="C65" s="213">
        <f>sumifs('25.06'!$H$7:$H$162,'25.06'!$G$7:$G$162,$B65,'25.06'!$F$7:$F$162,C$3)</f>
        <v>0</v>
      </c>
      <c r="D65" s="213">
        <f>sumifs('25.06'!$H$7:$H$162,'25.06'!$G$7:$G$162,$B65,'25.06'!$F$7:$F$162,D$3)</f>
        <v>0</v>
      </c>
      <c r="E65" s="213">
        <f>sumifs('25.06'!$H$7:$H$162,'25.06'!$G$7:$G$162,$B65,'25.06'!$F$7:$F$162,E$3)</f>
        <v>0</v>
      </c>
      <c r="F65" s="213">
        <f>sumifs('25.06'!$H$7:$H$162,'25.06'!$G$7:$G$162,$B65,'25.06'!$F$7:$F$162,F$3)</f>
        <v>0</v>
      </c>
      <c r="G65" s="213">
        <f>sumifs('25.06'!$H$7:$H$162,'25.06'!$G$7:$G$162,$B65,'25.06'!$F$7:$F$162,G$3)</f>
        <v>0</v>
      </c>
      <c r="H65" s="213">
        <f>sumifs('25.06'!$H$7:$H$162,'25.06'!$G$7:$G$162,$B65,'25.06'!$F$7:$F$162,H$3)</f>
        <v>0</v>
      </c>
      <c r="I65" s="213">
        <f>sumifs('25.06'!$H$7:$H$162,'25.06'!$G$7:$G$162,$B65,'25.06'!$F$7:$F$162,I$3)</f>
        <v>0</v>
      </c>
      <c r="J65" s="213">
        <f>sumifs('25.06'!$H$7:$H$162,'25.06'!$G$7:$G$162,$B65,'25.06'!$F$7:$F$162,J$3)</f>
        <v>0</v>
      </c>
      <c r="K65" s="213">
        <f>sumifs('25.06'!$H$7:$H$162,'25.06'!$G$7:$G$162,$B65,'25.06'!$F$7:$F$162,K$3)</f>
        <v>0</v>
      </c>
      <c r="L65" s="214">
        <f t="shared" si="1"/>
        <v>0</v>
      </c>
      <c r="M65" s="215"/>
      <c r="N65" s="215">
        <f t="shared" si="17"/>
        <v>0</v>
      </c>
      <c r="O65" s="215"/>
      <c r="P65" s="215"/>
      <c r="Q65" s="215"/>
      <c r="R65" s="213">
        <f>sumifs('25.06'!$H$7:$H$162,'25.06'!$I$7:$I$162,$B65,'25.06'!$J$7:$J$162,R$3)</f>
        <v>0</v>
      </c>
      <c r="S65" s="213">
        <f>sumifs('25.06'!$H$7:$H$162,'25.06'!$I$7:$I$162,$B65,'25.06'!$J$7:$J$162,S$3)</f>
        <v>0</v>
      </c>
      <c r="T65" s="213">
        <f>sumifs('25.06'!$H$7:$H$162,'25.06'!$I$7:$I$162,$B65,'25.06'!$J$7:$J$162,T$3)</f>
        <v>0</v>
      </c>
      <c r="U65" s="213">
        <f>sumifs('25.06'!$H$7:$H$162,'25.06'!$I$7:$I$162,$B65,'25.06'!$J$7:$J$162,U$3)</f>
        <v>0</v>
      </c>
      <c r="V65" s="213">
        <f>sumifs('25.06'!$H$7:$H$162,'25.06'!$I$7:$I$162,$B65,'25.06'!$J$7:$J$162,V$3)</f>
        <v>0</v>
      </c>
      <c r="W65" s="213">
        <f>sumifs('25.06'!$H$7:$H$162,'25.06'!$I$7:$I$162,$B65,'25.06'!$J$7:$J$162,W$3)</f>
        <v>0</v>
      </c>
      <c r="X65" s="213">
        <f>sumifs('25.06'!$H$7:$H$162,'25.06'!$I$7:$I$162,$B65,'25.06'!$J$7:$J$162,X$3)</f>
        <v>0</v>
      </c>
      <c r="Y65" s="213">
        <f>sumifs('25.06'!$H$7:$H$162,'25.06'!$I$7:$I$162,$B65,'25.06'!$J$7:$J$162,Y$3)</f>
        <v>0</v>
      </c>
      <c r="Z65" s="213">
        <f>sumifs('25.06'!$H$7:$H$162,'25.06'!$I$7:$I$162,$B65,'25.06'!$J$7:$J$162,Z$3)</f>
        <v>0</v>
      </c>
      <c r="AA65" s="214">
        <f t="shared" si="8"/>
        <v>0</v>
      </c>
    </row>
    <row r="66">
      <c r="A66" s="211">
        <v>45054.0</v>
      </c>
      <c r="B66" s="212" t="s">
        <v>17</v>
      </c>
      <c r="C66" s="213">
        <f>sumifs('25.06'!$H$7:$H$162,'25.06'!$G$7:$G$162,$B66,'25.06'!$F$7:$F$162,C$3)</f>
        <v>0</v>
      </c>
      <c r="D66" s="213">
        <f>sumifs('25.06'!$H$7:$H$162,'25.06'!$G$7:$G$162,$B66,'25.06'!$F$7:$F$162,D$3)</f>
        <v>0</v>
      </c>
      <c r="E66" s="213">
        <f>sumifs('25.06'!$H$7:$H$162,'25.06'!$G$7:$G$162,$B66,'25.06'!$F$7:$F$162,E$3)</f>
        <v>0</v>
      </c>
      <c r="F66" s="213">
        <f>sumifs('25.06'!$H$7:$H$162,'25.06'!$G$7:$G$162,$B66,'25.06'!$F$7:$F$162,F$3)</f>
        <v>0</v>
      </c>
      <c r="G66" s="213">
        <f>sumifs('25.06'!$H$7:$H$162,'25.06'!$G$7:$G$162,$B66,'25.06'!$F$7:$F$162,G$3)</f>
        <v>0</v>
      </c>
      <c r="H66" s="213">
        <f>sumifs('25.06'!$H$7:$H$162,'25.06'!$G$7:$G$162,$B66,'25.06'!$F$7:$F$162,H$3)</f>
        <v>0</v>
      </c>
      <c r="I66" s="213">
        <f>sumifs('25.06'!$H$7:$H$162,'25.06'!$G$7:$G$162,$B66,'25.06'!$F$7:$F$162,I$3)</f>
        <v>0</v>
      </c>
      <c r="J66" s="213">
        <f>sumifs('25.06'!$H$7:$H$162,'25.06'!$G$7:$G$162,$B66,'25.06'!$F$7:$F$162,J$3)</f>
        <v>0</v>
      </c>
      <c r="K66" s="213">
        <f>sumifs('25.06'!$H$7:$H$162,'25.06'!$G$7:$G$162,$B66,'25.06'!$F$7:$F$162,K$3)</f>
        <v>0</v>
      </c>
      <c r="L66" s="214">
        <f t="shared" si="1"/>
        <v>0</v>
      </c>
      <c r="M66" s="215"/>
      <c r="N66" s="215">
        <f t="shared" si="17"/>
        <v>0</v>
      </c>
      <c r="O66" s="215"/>
      <c r="P66" s="215"/>
      <c r="Q66" s="215"/>
      <c r="R66" s="213">
        <f>sumifs('25.06'!$H$7:$H$162,'25.06'!$I$7:$I$162,$B66,'25.06'!$J$7:$J$162,R$3)</f>
        <v>0</v>
      </c>
      <c r="S66" s="213">
        <f>sumifs('25.06'!$H$7:$H$162,'25.06'!$I$7:$I$162,$B66,'25.06'!$J$7:$J$162,S$3)</f>
        <v>0</v>
      </c>
      <c r="T66" s="213">
        <f>sumifs('25.06'!$H$7:$H$162,'25.06'!$I$7:$I$162,$B66,'25.06'!$J$7:$J$162,T$3)</f>
        <v>0</v>
      </c>
      <c r="U66" s="213">
        <f>sumifs('25.06'!$H$7:$H$162,'25.06'!$I$7:$I$162,$B66,'25.06'!$J$7:$J$162,U$3)</f>
        <v>0</v>
      </c>
      <c r="V66" s="213">
        <f>sumifs('25.06'!$H$7:$H$162,'25.06'!$I$7:$I$162,$B66,'25.06'!$J$7:$J$162,V$3)</f>
        <v>0</v>
      </c>
      <c r="W66" s="213">
        <f>sumifs('25.06'!$H$7:$H$162,'25.06'!$I$7:$I$162,$B66,'25.06'!$J$7:$J$162,W$3)</f>
        <v>0</v>
      </c>
      <c r="X66" s="213">
        <f>sumifs('25.06'!$H$7:$H$162,'25.06'!$I$7:$I$162,$B66,'25.06'!$J$7:$J$162,X$3)</f>
        <v>0</v>
      </c>
      <c r="Y66" s="213">
        <f>sumifs('25.06'!$H$7:$H$162,'25.06'!$I$7:$I$162,$B66,'25.06'!$J$7:$J$162,Y$3)</f>
        <v>0</v>
      </c>
      <c r="Z66" s="213">
        <f>sumifs('25.06'!$H$7:$H$162,'25.06'!$I$7:$I$162,$B66,'25.06'!$J$7:$J$162,Z$3)</f>
        <v>0</v>
      </c>
      <c r="AA66" s="214">
        <f t="shared" si="8"/>
        <v>0</v>
      </c>
    </row>
    <row r="67">
      <c r="A67" s="216">
        <v>45085.0</v>
      </c>
      <c r="B67" s="217" t="s">
        <v>134</v>
      </c>
      <c r="C67" s="213">
        <f>sumifs('25.06'!$H$7:$H$162,'25.06'!$G$7:$G$162,$B67,'25.06'!$F$7:$F$162,C$3)</f>
        <v>0</v>
      </c>
      <c r="D67" s="213">
        <f>sumifs('25.06'!$H$7:$H$162,'25.06'!$G$7:$G$162,$B67,'25.06'!$F$7:$F$162,D$3)</f>
        <v>0</v>
      </c>
      <c r="E67" s="213">
        <f>sumifs('25.06'!$H$7:$H$162,'25.06'!$G$7:$G$162,$B67,'25.06'!$F$7:$F$162,E$3)</f>
        <v>0</v>
      </c>
      <c r="F67" s="213">
        <f>sumifs('25.06'!$H$7:$H$162,'25.06'!$G$7:$G$162,$B67,'25.06'!$F$7:$F$162,F$3)</f>
        <v>0</v>
      </c>
      <c r="G67" s="213">
        <f>sumifs('25.06'!$H$7:$H$162,'25.06'!$G$7:$G$162,$B67,'25.06'!$F$7:$F$162,G$3)</f>
        <v>0</v>
      </c>
      <c r="H67" s="213">
        <f>sumifs('25.06'!$H$7:$H$162,'25.06'!$G$7:$G$162,$B67,'25.06'!$F$7:$F$162,H$3)</f>
        <v>0</v>
      </c>
      <c r="I67" s="213">
        <f>sumifs('25.06'!$H$7:$H$162,'25.06'!$G$7:$G$162,$B67,'25.06'!$F$7:$F$162,I$3)</f>
        <v>0</v>
      </c>
      <c r="J67" s="213">
        <f>sumifs('25.06'!$H$7:$H$162,'25.06'!$G$7:$G$162,$B67,'25.06'!$F$7:$F$162,J$3)</f>
        <v>0</v>
      </c>
      <c r="K67" s="213">
        <f>sumifs('25.06'!$H$7:$H$162,'25.06'!$G$7:$G$162,$B67,'25.06'!$F$7:$F$162,K$3)</f>
        <v>0</v>
      </c>
      <c r="L67" s="214">
        <f t="shared" si="1"/>
        <v>0</v>
      </c>
      <c r="M67" s="215"/>
      <c r="N67" s="215">
        <f t="shared" si="17"/>
        <v>0</v>
      </c>
      <c r="O67" s="215"/>
      <c r="P67" s="215"/>
      <c r="Q67" s="215"/>
      <c r="R67" s="213">
        <f>sumifs('25.06'!$H$7:$H$162,'25.06'!$I$7:$I$162,$B67,'25.06'!$J$7:$J$162,R$3)</f>
        <v>0</v>
      </c>
      <c r="S67" s="213">
        <f>sumifs('25.06'!$H$7:$H$162,'25.06'!$I$7:$I$162,$B67,'25.06'!$J$7:$J$162,S$3)</f>
        <v>0</v>
      </c>
      <c r="T67" s="213">
        <f>sumifs('25.06'!$H$7:$H$162,'25.06'!$I$7:$I$162,$B67,'25.06'!$J$7:$J$162,T$3)</f>
        <v>0</v>
      </c>
      <c r="U67" s="213">
        <f>sumifs('25.06'!$H$7:$H$162,'25.06'!$I$7:$I$162,$B67,'25.06'!$J$7:$J$162,U$3)</f>
        <v>0</v>
      </c>
      <c r="V67" s="213">
        <f>sumifs('25.06'!$H$7:$H$162,'25.06'!$I$7:$I$162,$B67,'25.06'!$J$7:$J$162,V$3)</f>
        <v>0</v>
      </c>
      <c r="W67" s="213">
        <f>sumifs('25.06'!$H$7:$H$162,'25.06'!$I$7:$I$162,$B67,'25.06'!$J$7:$J$162,W$3)</f>
        <v>0</v>
      </c>
      <c r="X67" s="213">
        <f>sumifs('25.06'!$H$7:$H$162,'25.06'!$I$7:$I$162,$B67,'25.06'!$J$7:$J$162,X$3)</f>
        <v>0</v>
      </c>
      <c r="Y67" s="213">
        <f>sumifs('25.06'!$H$7:$H$162,'25.06'!$I$7:$I$162,$B67,'25.06'!$J$7:$J$162,Y$3)</f>
        <v>0</v>
      </c>
      <c r="Z67" s="213">
        <f>sumifs('25.06'!$H$7:$H$162,'25.06'!$I$7:$I$162,$B67,'25.06'!$J$7:$J$162,Z$3)</f>
        <v>0</v>
      </c>
      <c r="AA67" s="214">
        <f t="shared" si="8"/>
        <v>0</v>
      </c>
    </row>
    <row r="68">
      <c r="A68" s="216">
        <v>45115.0</v>
      </c>
      <c r="B68" s="217" t="s">
        <v>135</v>
      </c>
      <c r="C68" s="213">
        <f>sumifs('25.06'!$H$7:$H$162,'25.06'!$G$7:$G$162,$B68,'25.06'!$F$7:$F$162,C$3)</f>
        <v>0</v>
      </c>
      <c r="D68" s="213">
        <f>sumifs('25.06'!$H$7:$H$162,'25.06'!$G$7:$G$162,$B68,'25.06'!$F$7:$F$162,D$3)</f>
        <v>0</v>
      </c>
      <c r="E68" s="213">
        <f>sumifs('25.06'!$H$7:$H$162,'25.06'!$G$7:$G$162,$B68,'25.06'!$F$7:$F$162,E$3)</f>
        <v>0</v>
      </c>
      <c r="F68" s="213">
        <f>sumifs('25.06'!$H$7:$H$162,'25.06'!$G$7:$G$162,$B68,'25.06'!$F$7:$F$162,F$3)</f>
        <v>0</v>
      </c>
      <c r="G68" s="213">
        <f>sumifs('25.06'!$H$7:$H$162,'25.06'!$G$7:$G$162,$B68,'25.06'!$F$7:$F$162,G$3)</f>
        <v>0</v>
      </c>
      <c r="H68" s="213">
        <f>sumifs('25.06'!$H$7:$H$162,'25.06'!$G$7:$G$162,$B68,'25.06'!$F$7:$F$162,H$3)</f>
        <v>0</v>
      </c>
      <c r="I68" s="213">
        <f>sumifs('25.06'!$H$7:$H$162,'25.06'!$G$7:$G$162,$B68,'25.06'!$F$7:$F$162,I$3)</f>
        <v>0</v>
      </c>
      <c r="J68" s="213">
        <f>sumifs('25.06'!$H$7:$H$162,'25.06'!$G$7:$G$162,$B68,'25.06'!$F$7:$F$162,J$3)</f>
        <v>0</v>
      </c>
      <c r="K68" s="213">
        <f>sumifs('25.06'!$H$7:$H$162,'25.06'!$G$7:$G$162,$B68,'25.06'!$F$7:$F$162,K$3)</f>
        <v>0</v>
      </c>
      <c r="L68" s="214">
        <f t="shared" si="1"/>
        <v>0</v>
      </c>
      <c r="M68" s="215"/>
      <c r="N68" s="215">
        <f t="shared" si="17"/>
        <v>0</v>
      </c>
      <c r="O68" s="215"/>
      <c r="P68" s="215"/>
      <c r="Q68" s="215"/>
      <c r="R68" s="213">
        <f>sumifs('25.06'!$H$7:$H$162,'25.06'!$I$7:$I$162,$B68,'25.06'!$J$7:$J$162,R$3)</f>
        <v>0</v>
      </c>
      <c r="S68" s="213">
        <f>sumifs('25.06'!$H$7:$H$162,'25.06'!$I$7:$I$162,$B68,'25.06'!$J$7:$J$162,S$3)</f>
        <v>0</v>
      </c>
      <c r="T68" s="213">
        <f>sumifs('25.06'!$H$7:$H$162,'25.06'!$I$7:$I$162,$B68,'25.06'!$J$7:$J$162,T$3)</f>
        <v>0</v>
      </c>
      <c r="U68" s="213">
        <f>sumifs('25.06'!$H$7:$H$162,'25.06'!$I$7:$I$162,$B68,'25.06'!$J$7:$J$162,U$3)</f>
        <v>0</v>
      </c>
      <c r="V68" s="213">
        <f>sumifs('25.06'!$H$7:$H$162,'25.06'!$I$7:$I$162,$B68,'25.06'!$J$7:$J$162,V$3)</f>
        <v>0</v>
      </c>
      <c r="W68" s="213">
        <f>sumifs('25.06'!$H$7:$H$162,'25.06'!$I$7:$I$162,$B68,'25.06'!$J$7:$J$162,W$3)</f>
        <v>0</v>
      </c>
      <c r="X68" s="213">
        <f>sumifs('25.06'!$H$7:$H$162,'25.06'!$I$7:$I$162,$B68,'25.06'!$J$7:$J$162,X$3)</f>
        <v>0</v>
      </c>
      <c r="Y68" s="213">
        <f>sumifs('25.06'!$H$7:$H$162,'25.06'!$I$7:$I$162,$B68,'25.06'!$J$7:$J$162,Y$3)</f>
        <v>0</v>
      </c>
      <c r="Z68" s="213">
        <f>sumifs('25.06'!$H$7:$H$162,'25.06'!$I$7:$I$162,$B68,'25.06'!$J$7:$J$162,Z$3)</f>
        <v>0</v>
      </c>
      <c r="AA68" s="214">
        <f t="shared" si="8"/>
        <v>0</v>
      </c>
    </row>
    <row r="69">
      <c r="A69" s="242">
        <v>45146.0</v>
      </c>
      <c r="B69" s="236" t="s">
        <v>136</v>
      </c>
      <c r="C69" s="237">
        <f>sumifs('25.06'!$H$7:$H$162,'25.06'!$G$7:$G$162,$B69,'25.06'!$F$7:$F$162,C$3)</f>
        <v>0</v>
      </c>
      <c r="D69" s="237">
        <f>sumifs('25.06'!$H$7:$H$162,'25.06'!$G$7:$G$162,$B69,'25.06'!$F$7:$F$162,D$3)</f>
        <v>0</v>
      </c>
      <c r="E69" s="237">
        <f>sumifs('25.06'!$H$7:$H$162,'25.06'!$G$7:$G$162,$B69,'25.06'!$F$7:$F$162,E$3)</f>
        <v>0</v>
      </c>
      <c r="F69" s="237">
        <f>sumifs('25.06'!$H$7:$H$162,'25.06'!$G$7:$G$162,$B69,'25.06'!$F$7:$F$162,F$3)</f>
        <v>0</v>
      </c>
      <c r="G69" s="237">
        <f>sumifs('25.06'!$H$7:$H$162,'25.06'!$G$7:$G$162,$B69,'25.06'!$F$7:$F$162,G$3)</f>
        <v>0</v>
      </c>
      <c r="H69" s="237">
        <f>sumifs('25.06'!$H$7:$H$162,'25.06'!$G$7:$G$162,$B69,'25.06'!$F$7:$F$162,H$3)</f>
        <v>0</v>
      </c>
      <c r="I69" s="237">
        <f>sumifs('25.06'!$H$7:$H$162,'25.06'!$G$7:$G$162,$B69,'25.06'!$F$7:$F$162,I$3)</f>
        <v>0</v>
      </c>
      <c r="J69" s="237">
        <f>sumifs('25.06'!$H$7:$H$162,'25.06'!$G$7:$G$162,$B69,'25.06'!$F$7:$F$162,J$3)</f>
        <v>0</v>
      </c>
      <c r="K69" s="237">
        <f>sumifs('25.06'!$H$7:$H$162,'25.06'!$G$7:$G$162,$B69,'25.06'!$F$7:$F$162,K$3)</f>
        <v>0</v>
      </c>
      <c r="L69" s="238">
        <f t="shared" si="1"/>
        <v>0</v>
      </c>
      <c r="M69" s="239"/>
      <c r="N69" s="239">
        <f t="shared" si="17"/>
        <v>0</v>
      </c>
      <c r="O69" s="239"/>
      <c r="P69" s="239"/>
      <c r="Q69" s="239"/>
      <c r="R69" s="237">
        <f>sumifs('25.06'!$H$7:$H$162,'25.06'!$I$7:$I$162,$B69,'25.06'!$J$7:$J$162,R$3)</f>
        <v>0</v>
      </c>
      <c r="S69" s="237">
        <f>sumifs('25.06'!$H$7:$H$162,'25.06'!$I$7:$I$162,$B69,'25.06'!$J$7:$J$162,S$3)</f>
        <v>0</v>
      </c>
      <c r="T69" s="237">
        <f>sumifs('25.06'!$H$7:$H$162,'25.06'!$I$7:$I$162,$B69,'25.06'!$J$7:$J$162,T$3)</f>
        <v>0</v>
      </c>
      <c r="U69" s="237">
        <f>sumifs('25.06'!$H$7:$H$162,'25.06'!$I$7:$I$162,$B69,'25.06'!$J$7:$J$162,U$3)</f>
        <v>0</v>
      </c>
      <c r="V69" s="237">
        <f>sumifs('25.06'!$H$7:$H$162,'25.06'!$I$7:$I$162,$B69,'25.06'!$J$7:$J$162,V$3)</f>
        <v>0</v>
      </c>
      <c r="W69" s="237">
        <f>sumifs('25.06'!$H$7:$H$162,'25.06'!$I$7:$I$162,$B69,'25.06'!$J$7:$J$162,W$3)</f>
        <v>0</v>
      </c>
      <c r="X69" s="237">
        <f>sumifs('25.06'!$H$7:$H$162,'25.06'!$I$7:$I$162,$B69,'25.06'!$J$7:$J$162,X$3)</f>
        <v>0</v>
      </c>
      <c r="Y69" s="237">
        <f>sumifs('25.06'!$H$7:$H$162,'25.06'!$I$7:$I$162,$B69,'25.06'!$J$7:$J$162,Y$3)</f>
        <v>0</v>
      </c>
      <c r="Z69" s="237">
        <f>sumifs('25.06'!$H$7:$H$162,'25.06'!$I$7:$I$162,$B69,'25.06'!$J$7:$J$162,Z$3)</f>
        <v>0</v>
      </c>
      <c r="AA69" s="238">
        <f t="shared" si="8"/>
        <v>0</v>
      </c>
    </row>
    <row r="70">
      <c r="A70" s="248"/>
      <c r="B70" s="249" t="s">
        <v>137</v>
      </c>
      <c r="C70" s="250">
        <f t="shared" ref="C70:L70" si="18">sum(C4:C69)</f>
        <v>0</v>
      </c>
      <c r="D70" s="250">
        <f t="shared" si="18"/>
        <v>0</v>
      </c>
      <c r="E70" s="250">
        <f t="shared" si="18"/>
        <v>22308554</v>
      </c>
      <c r="F70" s="250">
        <f t="shared" si="18"/>
        <v>0</v>
      </c>
      <c r="G70" s="250">
        <f t="shared" si="18"/>
        <v>0</v>
      </c>
      <c r="H70" s="250">
        <f t="shared" si="18"/>
        <v>0</v>
      </c>
      <c r="I70" s="250">
        <f t="shared" si="18"/>
        <v>0</v>
      </c>
      <c r="J70" s="250">
        <f t="shared" si="18"/>
        <v>0</v>
      </c>
      <c r="K70" s="250">
        <f t="shared" si="18"/>
        <v>0</v>
      </c>
      <c r="L70" s="250">
        <f t="shared" si="18"/>
        <v>22308554</v>
      </c>
      <c r="M70" s="249"/>
      <c r="N70" s="249" t="str">
        <f t="shared" ref="N70:O70" si="19">sum(N4:N69)</f>
        <v>#DIV/0!</v>
      </c>
      <c r="O70" s="249" t="str">
        <f t="shared" si="19"/>
        <v>#DIV/0!</v>
      </c>
      <c r="P70" s="249"/>
      <c r="Q70" s="251"/>
      <c r="R70" s="250">
        <f t="shared" ref="R70:AA70" si="20">sum(R4:R69)</f>
        <v>0</v>
      </c>
      <c r="S70" s="250">
        <f t="shared" si="20"/>
        <v>0</v>
      </c>
      <c r="T70" s="250">
        <f t="shared" si="20"/>
        <v>84157000</v>
      </c>
      <c r="U70" s="250">
        <f t="shared" si="20"/>
        <v>0</v>
      </c>
      <c r="V70" s="250">
        <f t="shared" si="20"/>
        <v>0</v>
      </c>
      <c r="W70" s="250">
        <f t="shared" si="20"/>
        <v>0</v>
      </c>
      <c r="X70" s="250">
        <f t="shared" si="20"/>
        <v>0</v>
      </c>
      <c r="Y70" s="250">
        <f t="shared" si="20"/>
        <v>0</v>
      </c>
      <c r="Z70" s="250">
        <f t="shared" si="20"/>
        <v>0</v>
      </c>
      <c r="AA70" s="250">
        <f t="shared" si="20"/>
        <v>84157000</v>
      </c>
    </row>
    <row r="71">
      <c r="A71" s="25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R71" s="253"/>
    </row>
    <row r="72">
      <c r="A72" s="254" t="s">
        <v>138</v>
      </c>
      <c r="B72" s="255" t="s">
        <v>11</v>
      </c>
      <c r="C72" s="256" t="s">
        <v>46</v>
      </c>
      <c r="D72" s="256" t="s">
        <v>47</v>
      </c>
      <c r="E72" s="256" t="s">
        <v>15</v>
      </c>
      <c r="F72" s="256" t="s">
        <v>48</v>
      </c>
      <c r="G72" s="256" t="s">
        <v>49</v>
      </c>
      <c r="H72" s="256" t="s">
        <v>50</v>
      </c>
      <c r="I72" s="256" t="s">
        <v>51</v>
      </c>
      <c r="J72" s="256" t="s">
        <v>52</v>
      </c>
      <c r="K72" s="256"/>
      <c r="L72" s="257"/>
      <c r="M72" s="257"/>
      <c r="N72" s="257"/>
      <c r="Q72" s="258"/>
      <c r="R72" s="258" t="s">
        <v>139</v>
      </c>
      <c r="S72" s="259" t="s">
        <v>140</v>
      </c>
      <c r="T72" s="260" t="s">
        <v>141</v>
      </c>
      <c r="U72" s="260" t="s">
        <v>142</v>
      </c>
      <c r="V72" s="260"/>
      <c r="W72" s="260" t="s">
        <v>143</v>
      </c>
      <c r="X72" s="260" t="s">
        <v>144</v>
      </c>
      <c r="Y72" s="260" t="s">
        <v>145</v>
      </c>
      <c r="Z72" s="261" t="s">
        <v>146</v>
      </c>
    </row>
    <row r="73">
      <c r="A73" s="262"/>
      <c r="B73" s="263" t="s">
        <v>147</v>
      </c>
      <c r="C73" s="263">
        <v>2.25E7</v>
      </c>
      <c r="D73" s="263">
        <v>7.8345768E7</v>
      </c>
      <c r="E73" s="263">
        <v>4.5650059E7</v>
      </c>
      <c r="F73" s="263">
        <v>2145050.0</v>
      </c>
      <c r="G73" s="263">
        <v>0.0</v>
      </c>
      <c r="H73" s="263">
        <v>9250.0</v>
      </c>
      <c r="I73" s="263">
        <v>3088.0</v>
      </c>
      <c r="J73" s="264">
        <f>T84</f>
        <v>2849500000</v>
      </c>
      <c r="K73" s="264"/>
      <c r="M73" s="257">
        <v>-8.51568107E8</v>
      </c>
      <c r="N73" s="257"/>
      <c r="Q73" s="258"/>
      <c r="S73" s="265">
        <v>1.0</v>
      </c>
      <c r="T73" s="266">
        <v>2.3E8</v>
      </c>
      <c r="U73" s="267">
        <v>45308.0</v>
      </c>
      <c r="V73" s="268"/>
      <c r="W73" s="267">
        <v>45674.0</v>
      </c>
      <c r="X73" s="269">
        <f t="shared" ref="X73:X74" si="21">(W73-U73)/30</f>
        <v>12.2</v>
      </c>
      <c r="Y73" s="270">
        <v>0.058</v>
      </c>
      <c r="Z73" s="271">
        <f t="shared" ref="Z73:Z74" si="22">T73+T73*Y73/12*X73</f>
        <v>243562333.3</v>
      </c>
      <c r="AA73" s="272"/>
    </row>
    <row r="74">
      <c r="A74" s="262"/>
      <c r="B74" s="263" t="s">
        <v>148</v>
      </c>
      <c r="C74" s="263">
        <f>sumifs('25.06'!$H$7:$H$162,'25.06'!$J$7:$J$162,C$72)</f>
        <v>0</v>
      </c>
      <c r="D74" s="263">
        <f>sumifs('25.06'!$H$7:$H$162,'25.06'!$J$7:$J$162,D$72)</f>
        <v>0</v>
      </c>
      <c r="E74" s="263">
        <f>sumifs('25.06'!$H$7:$H$162,'25.06'!$J$7:$J$162,E$72)</f>
        <v>84157000</v>
      </c>
      <c r="F74" s="263">
        <f>sumifs('25.06'!$H$7:$H$162,'25.06'!$J$7:$J$162,F$72)</f>
        <v>0</v>
      </c>
      <c r="G74" s="263">
        <f>sumifs('25.06'!$H$7:$H$162,'25.06'!$J$7:$J$162,G$72)</f>
        <v>0</v>
      </c>
      <c r="H74" s="263">
        <f>sumifs('25.06'!$H$7:$H$162,'25.06'!$J$7:$J$162,H$72)</f>
        <v>0</v>
      </c>
      <c r="I74" s="263">
        <f>sumifs('25.06'!$H$7:$H$162,'25.06'!$J$7:$J$162,I$72)</f>
        <v>0</v>
      </c>
      <c r="J74" s="263">
        <f>sumifs('25.06'!$H$7:$H$162,'25.06'!$J$7:$J$162,J$72)</f>
        <v>0</v>
      </c>
      <c r="K74" s="263"/>
      <c r="Q74" s="258"/>
      <c r="S74" s="265">
        <v>2.0</v>
      </c>
      <c r="T74" s="273">
        <v>1.095E8</v>
      </c>
      <c r="U74" s="274">
        <v>45325.0</v>
      </c>
      <c r="V74" s="275"/>
      <c r="W74" s="274">
        <v>45691.0</v>
      </c>
      <c r="X74" s="276">
        <f t="shared" si="21"/>
        <v>12.2</v>
      </c>
      <c r="Y74" s="277">
        <v>0.048</v>
      </c>
      <c r="Z74" s="278">
        <f t="shared" si="22"/>
        <v>114843600</v>
      </c>
      <c r="AA74" s="279"/>
    </row>
    <row r="75">
      <c r="A75" s="262"/>
      <c r="B75" s="263" t="s">
        <v>149</v>
      </c>
      <c r="C75" s="263">
        <f>Sumifs('25.06'!$H$7:$H$162,'25.06'!$F$7:$F$162,C$72)</f>
        <v>0</v>
      </c>
      <c r="D75" s="263">
        <f>Sumifs('25.06'!$H$7:$H$162,'25.06'!$F$7:$F$162,D$72)</f>
        <v>0</v>
      </c>
      <c r="E75" s="263">
        <f>Sumifs('25.06'!$H$7:$H$162,'25.06'!$F$7:$F$162,E$72)</f>
        <v>22308554</v>
      </c>
      <c r="F75" s="263">
        <f>Sumifs('25.06'!$H$7:$H$162,'25.06'!$F$7:$F$162,F$72)</f>
        <v>0</v>
      </c>
      <c r="G75" s="263">
        <f>Sumifs('25.06'!$H$7:$H$162,'25.06'!$F$7:$F$162,G$72)</f>
        <v>0</v>
      </c>
      <c r="H75" s="263">
        <f>Sumifs('25.06'!$H$7:$H$162,'25.06'!$F$7:$F$162,H$72)</f>
        <v>0</v>
      </c>
      <c r="I75" s="263">
        <f>Sumifs('25.06'!$H$7:$H$162,'25.06'!$F$7:$F$162,I$72)</f>
        <v>0</v>
      </c>
      <c r="J75" s="263">
        <f>Sumifs('25.06'!$H$7:$H$162,'25.06'!$F$7:$F$162,J$72)</f>
        <v>0</v>
      </c>
      <c r="K75" s="263"/>
      <c r="L75" s="257"/>
      <c r="M75" s="280">
        <f>7127400-8900000</f>
        <v>-1772600</v>
      </c>
      <c r="O75" s="257"/>
      <c r="Q75" s="258"/>
      <c r="S75" s="265">
        <v>3.0</v>
      </c>
      <c r="T75" s="281"/>
      <c r="U75" s="282"/>
      <c r="V75" s="283"/>
      <c r="W75" s="282"/>
      <c r="X75" s="284"/>
      <c r="Y75" s="285"/>
      <c r="Z75" s="286"/>
      <c r="AA75" s="287" t="s">
        <v>150</v>
      </c>
    </row>
    <row r="76">
      <c r="A76" s="262"/>
      <c r="B76" s="263" t="s">
        <v>151</v>
      </c>
      <c r="C76" s="263">
        <f t="shared" ref="C76:J76" si="23">C74-C75</f>
        <v>0</v>
      </c>
      <c r="D76" s="263">
        <f t="shared" si="23"/>
        <v>0</v>
      </c>
      <c r="E76" s="263">
        <f t="shared" si="23"/>
        <v>61848446</v>
      </c>
      <c r="F76" s="263">
        <f t="shared" si="23"/>
        <v>0</v>
      </c>
      <c r="G76" s="263">
        <f t="shared" si="23"/>
        <v>0</v>
      </c>
      <c r="H76" s="263">
        <f t="shared" si="23"/>
        <v>0</v>
      </c>
      <c r="I76" s="263">
        <f t="shared" si="23"/>
        <v>0</v>
      </c>
      <c r="J76" s="263">
        <f t="shared" si="23"/>
        <v>0</v>
      </c>
      <c r="K76" s="263"/>
      <c r="M76" s="288">
        <v>-9.10749104E8</v>
      </c>
      <c r="O76" s="289"/>
      <c r="P76" s="289"/>
      <c r="Q76" s="258"/>
      <c r="S76" s="265">
        <v>4.0</v>
      </c>
      <c r="T76" s="290">
        <v>2.5E8</v>
      </c>
      <c r="U76" s="291">
        <v>45414.0</v>
      </c>
      <c r="V76" s="292"/>
      <c r="W76" s="291">
        <v>45779.0</v>
      </c>
      <c r="X76" s="293">
        <f t="shared" ref="X76:X82" si="25">(W76-U76)/30</f>
        <v>12.16666667</v>
      </c>
      <c r="Y76" s="294">
        <v>0.05</v>
      </c>
      <c r="Z76" s="295">
        <f t="shared" ref="Z76:Z82" si="26">T76+T76*Y76/12*X76</f>
        <v>262673611.1</v>
      </c>
      <c r="AA76" s="296"/>
    </row>
    <row r="77">
      <c r="A77" s="262"/>
      <c r="B77" s="297" t="s">
        <v>152</v>
      </c>
      <c r="C77" s="297">
        <f t="shared" ref="C77:J77" si="24">C73+C74-C75</f>
        <v>22500000</v>
      </c>
      <c r="D77" s="297">
        <f t="shared" si="24"/>
        <v>78345768</v>
      </c>
      <c r="E77" s="297">
        <f t="shared" si="24"/>
        <v>107498505</v>
      </c>
      <c r="F77" s="297">
        <f t="shared" si="24"/>
        <v>2145050</v>
      </c>
      <c r="G77" s="297">
        <f t="shared" si="24"/>
        <v>0</v>
      </c>
      <c r="H77" s="297">
        <f t="shared" si="24"/>
        <v>9250</v>
      </c>
      <c r="I77" s="297">
        <f t="shared" si="24"/>
        <v>3088</v>
      </c>
      <c r="J77" s="297">
        <f t="shared" si="24"/>
        <v>2849500000</v>
      </c>
      <c r="K77" s="297"/>
      <c r="L77" s="289">
        <f>19023059-E77</f>
        <v>-88475446</v>
      </c>
      <c r="M77" s="298">
        <v>-9.749119104E9</v>
      </c>
      <c r="N77" s="298"/>
      <c r="Q77" s="258"/>
      <c r="S77" s="265">
        <v>5.0</v>
      </c>
      <c r="T77" s="273">
        <v>3.0E8</v>
      </c>
      <c r="U77" s="274">
        <v>45649.0</v>
      </c>
      <c r="V77" s="275"/>
      <c r="W77" s="274">
        <v>45831.0</v>
      </c>
      <c r="X77" s="276">
        <f t="shared" si="25"/>
        <v>6.066666667</v>
      </c>
      <c r="Y77" s="277">
        <v>0.059</v>
      </c>
      <c r="Z77" s="278">
        <f t="shared" si="26"/>
        <v>308948333.3</v>
      </c>
      <c r="AA77" s="279"/>
    </row>
    <row r="78">
      <c r="A78" s="299"/>
      <c r="B78" s="300"/>
      <c r="C78" s="301">
        <f>sum(C77:J77)</f>
        <v>3060001661</v>
      </c>
      <c r="D78" s="302"/>
      <c r="E78" s="302"/>
      <c r="F78" s="302"/>
      <c r="G78" s="302"/>
      <c r="H78" s="302"/>
      <c r="I78" s="302"/>
      <c r="J78" s="302"/>
      <c r="K78" s="303"/>
      <c r="Q78" s="258"/>
      <c r="S78" s="265">
        <v>6.0</v>
      </c>
      <c r="T78" s="290">
        <v>2.0E8</v>
      </c>
      <c r="U78" s="291">
        <v>45476.0</v>
      </c>
      <c r="V78" s="292"/>
      <c r="W78" s="291">
        <v>45841.0</v>
      </c>
      <c r="X78" s="293">
        <f t="shared" si="25"/>
        <v>12.16666667</v>
      </c>
      <c r="Y78" s="294">
        <v>0.058</v>
      </c>
      <c r="Z78" s="295">
        <f t="shared" si="26"/>
        <v>211761111.1</v>
      </c>
      <c r="AA78" s="296"/>
    </row>
    <row r="79">
      <c r="A79" s="304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06"/>
      <c r="N79" s="306"/>
      <c r="O79" s="307"/>
      <c r="P79" s="308"/>
      <c r="Q79" s="258"/>
      <c r="S79" s="265">
        <v>7.0</v>
      </c>
      <c r="T79" s="273">
        <v>5.0E8</v>
      </c>
      <c r="U79" s="274">
        <v>45665.0</v>
      </c>
      <c r="V79" s="275"/>
      <c r="W79" s="274">
        <v>45846.0</v>
      </c>
      <c r="X79" s="309">
        <f t="shared" si="25"/>
        <v>6.033333333</v>
      </c>
      <c r="Y79" s="277">
        <v>0.055</v>
      </c>
      <c r="Z79" s="310">
        <f t="shared" si="26"/>
        <v>513826388.9</v>
      </c>
      <c r="AA79" s="272"/>
    </row>
    <row r="80">
      <c r="A80" s="311" t="s">
        <v>153</v>
      </c>
      <c r="B80" s="312" t="s">
        <v>11</v>
      </c>
      <c r="C80" s="313" t="s">
        <v>57</v>
      </c>
      <c r="D80" s="313" t="s">
        <v>63</v>
      </c>
      <c r="E80" s="313" t="s">
        <v>70</v>
      </c>
      <c r="F80" s="313" t="s">
        <v>76</v>
      </c>
      <c r="G80" s="313" t="s">
        <v>82</v>
      </c>
      <c r="H80" s="313" t="s">
        <v>127</v>
      </c>
      <c r="I80" s="313" t="s">
        <v>129</v>
      </c>
      <c r="J80" s="313" t="s">
        <v>16</v>
      </c>
      <c r="K80" s="313" t="s">
        <v>154</v>
      </c>
      <c r="L80" s="313" t="s">
        <v>155</v>
      </c>
      <c r="M80" s="68" t="s">
        <v>156</v>
      </c>
      <c r="N80" s="68" t="s">
        <v>157</v>
      </c>
      <c r="O80" s="314" t="s">
        <v>158</v>
      </c>
      <c r="P80" s="313" t="s">
        <v>159</v>
      </c>
      <c r="Q80" s="313" t="s">
        <v>53</v>
      </c>
      <c r="S80" s="265">
        <v>8.0</v>
      </c>
      <c r="T80" s="273">
        <v>5.4E8</v>
      </c>
      <c r="U80" s="274">
        <v>45624.0</v>
      </c>
      <c r="V80" s="275"/>
      <c r="W80" s="274">
        <v>45805.0</v>
      </c>
      <c r="X80" s="309">
        <f t="shared" si="25"/>
        <v>6.033333333</v>
      </c>
      <c r="Y80" s="277">
        <v>0.045</v>
      </c>
      <c r="Z80" s="310">
        <f t="shared" si="26"/>
        <v>552217500</v>
      </c>
      <c r="AA80" s="272"/>
    </row>
    <row r="81">
      <c r="A81" s="262"/>
      <c r="B81" s="263" t="s">
        <v>147</v>
      </c>
      <c r="C81" s="315">
        <v>0.0</v>
      </c>
      <c r="D81" s="316">
        <v>0.0</v>
      </c>
      <c r="E81" s="316">
        <v>0.0</v>
      </c>
      <c r="F81" s="316">
        <v>0.0</v>
      </c>
      <c r="G81" s="316">
        <v>0.0</v>
      </c>
      <c r="H81" s="316">
        <v>0.0</v>
      </c>
      <c r="I81" s="263">
        <v>0.0</v>
      </c>
      <c r="J81" s="263">
        <v>-9.08560104E8</v>
      </c>
      <c r="K81" s="315">
        <v>1.0314E7</v>
      </c>
      <c r="L81" s="316">
        <v>1.4672E7</v>
      </c>
      <c r="M81" s="316">
        <v>3.59318E7</v>
      </c>
      <c r="N81" s="316">
        <v>1.3E7</v>
      </c>
      <c r="O81" s="263">
        <v>2077300.0</v>
      </c>
      <c r="P81" s="263">
        <v>3.343025E7</v>
      </c>
      <c r="Q81" s="264">
        <v>-2.738E8</v>
      </c>
      <c r="S81" s="265">
        <v>9.0</v>
      </c>
      <c r="T81" s="273">
        <v>2.2E8</v>
      </c>
      <c r="U81" s="291">
        <v>45551.0</v>
      </c>
      <c r="V81" s="292"/>
      <c r="W81" s="291">
        <v>45733.0</v>
      </c>
      <c r="X81" s="309">
        <f t="shared" si="25"/>
        <v>6.066666667</v>
      </c>
      <c r="Y81" s="277">
        <v>0.056</v>
      </c>
      <c r="Z81" s="310">
        <f t="shared" si="26"/>
        <v>226228444.4</v>
      </c>
      <c r="AA81" s="272"/>
    </row>
    <row r="82">
      <c r="A82" s="262"/>
      <c r="B82" s="263" t="s">
        <v>149</v>
      </c>
      <c r="C82" s="213">
        <f>sum(L4:L9)</f>
        <v>0</v>
      </c>
      <c r="D82" s="213">
        <f>sum(L$10:L$16)</f>
        <v>0</v>
      </c>
      <c r="E82" s="213">
        <f>sum(L17:L22)</f>
        <v>0</v>
      </c>
      <c r="F82" s="213">
        <f>sum(L23:L28)</f>
        <v>0</v>
      </c>
      <c r="G82" s="213">
        <f>sum(L29:L54)</f>
        <v>0</v>
      </c>
      <c r="H82" s="213">
        <f>sum(L55:L57)</f>
        <v>0</v>
      </c>
      <c r="I82" s="213">
        <f>sumifs('25.06'!$H$7:$H$162,'25.06'!$G$7:$G$162,$B58)+sumifs('25.06'!$H$7:$H$162,'25.06'!$G$7:$G$162,$B59)+sumifs('25.06'!$H$7:$H$162,'25.06'!$G$7:$G$162,$B60)</f>
        <v>0</v>
      </c>
      <c r="J82" s="213">
        <f>sum(L61:L69)</f>
        <v>22308554</v>
      </c>
      <c r="K82" s="213">
        <f>sumifs('25.06'!$H$7:$H$162,'25.06'!$G$7:$G$162,K$80)</f>
        <v>0</v>
      </c>
      <c r="L82" s="213">
        <f>sumifs('25.06'!$H$7:$H$162,'25.06'!$G$7:$G$162,L$80)</f>
        <v>0</v>
      </c>
      <c r="M82" s="213">
        <f>sumifs('25.06'!$H$7:$H$162,'25.06'!$G$7:$G$162,M$80)</f>
        <v>0</v>
      </c>
      <c r="N82" s="213">
        <f>sumifs('25.06'!$H$7:$H$162,'25.06'!$G$7:$G$162,N$80)</f>
        <v>0</v>
      </c>
      <c r="O82" s="213">
        <f>sumifs('25.06'!$H$7:$H$162,'25.06'!$G$7:$G$162,O$80)</f>
        <v>0</v>
      </c>
      <c r="P82" s="213">
        <f>sumifs('25.06'!$H$7:$H$162,'25.06'!$G$7:$G$162,P$80)</f>
        <v>0</v>
      </c>
      <c r="Q82" s="317">
        <f>sumifs('25.06'!$H$7:$H$160,'25.06'!$G$7:$G$160,Q$80)</f>
        <v>0</v>
      </c>
      <c r="S82" s="265">
        <v>10.0</v>
      </c>
      <c r="T82" s="273">
        <v>5.0E8</v>
      </c>
      <c r="U82" s="274">
        <v>45665.0</v>
      </c>
      <c r="V82" s="275"/>
      <c r="W82" s="274">
        <v>45846.0</v>
      </c>
      <c r="X82" s="309">
        <f t="shared" si="25"/>
        <v>6.033333333</v>
      </c>
      <c r="Y82" s="277">
        <v>0.059</v>
      </c>
      <c r="Z82" s="310">
        <f t="shared" si="26"/>
        <v>514831944.4</v>
      </c>
      <c r="AA82" s="318"/>
    </row>
    <row r="83">
      <c r="A83" s="262"/>
      <c r="B83" s="263" t="s">
        <v>148</v>
      </c>
      <c r="C83" s="213">
        <f>sumifs('25.06'!$H$7:$H$162,'25.06'!$I$7:$I$162,C$80)</f>
        <v>0</v>
      </c>
      <c r="D83" s="213">
        <f>sumifs('25.06'!$H$7:$H$162,'25.06'!$I$7:$I$162,D$80)</f>
        <v>0</v>
      </c>
      <c r="E83" s="213">
        <f>sumifs('25.06'!$H$7:$H$162,'25.06'!$I$7:$I$162,E$80)</f>
        <v>0</v>
      </c>
      <c r="F83" s="213">
        <f>sumifs('25.06'!$H$7:$H$162,'25.06'!$I$7:$I$162,F$80)</f>
        <v>0</v>
      </c>
      <c r="G83" s="213">
        <f>sumifs('25.06'!$H$7:$H$162,'25.06'!$I$7:$I$162,G$80)</f>
        <v>0</v>
      </c>
      <c r="H83" s="213">
        <f>sumifs('25.06'!$H$7:$H$162,'25.06'!$I$7:$I$162,H$80)</f>
        <v>0</v>
      </c>
      <c r="I83" s="213">
        <f>sumifs('25.06'!$H$7:$H$162,'25.06'!$I$7:$I$162,$B58)+sumifs('25.06'!$H$7:$H$162,'25.06'!$I$7:$I$162,$B59)+sumifs('25.06'!$H$7:$H$162,'25.06'!$I$7:$I$162,$B60)</f>
        <v>0</v>
      </c>
      <c r="J83" s="213">
        <f>sum(AA61:AA69)</f>
        <v>84157000</v>
      </c>
      <c r="K83" s="213">
        <f>sumifs('25.06'!$H$7:$H$162,'25.06'!$I$7:$I$162,K$80)</f>
        <v>0</v>
      </c>
      <c r="L83" s="213">
        <f>sumifs('25.06'!$H$7:$H$162,'25.06'!$I$7:$I$162,L$80)</f>
        <v>0</v>
      </c>
      <c r="M83" s="213">
        <f>sumifs('25.06'!$H$7:$H$162,'25.06'!$I$7:$I$162,M$80)</f>
        <v>0</v>
      </c>
      <c r="N83" s="213">
        <f>sumifs('25.06'!$H$7:$H$162,'25.06'!$I$7:$I$162,N$80)</f>
        <v>0</v>
      </c>
      <c r="O83" s="213">
        <f>sumifs('25.06'!$H$7:$H$162,'25.06'!$I$7:$I$162,O$80)</f>
        <v>0</v>
      </c>
      <c r="P83" s="213">
        <f>sumifs('25.06'!$H$7:$H$162,'25.06'!$I$7:$I$162,P$80)</f>
        <v>0</v>
      </c>
      <c r="Q83" s="317">
        <f>Sumifs('25.06'!$H$7:$H$160,'25.06'!$I$7:$I$160,Q$80)</f>
        <v>0</v>
      </c>
      <c r="S83" s="265">
        <v>11.0</v>
      </c>
      <c r="T83" s="319"/>
      <c r="U83" s="320"/>
      <c r="V83" s="320"/>
      <c r="W83" s="320"/>
      <c r="X83" s="321"/>
      <c r="Y83" s="322"/>
      <c r="Z83" s="323"/>
      <c r="AA83" s="318"/>
    </row>
    <row r="84">
      <c r="A84" s="262"/>
      <c r="B84" s="263" t="s">
        <v>151</v>
      </c>
      <c r="C84" s="263">
        <f>C83-C82</f>
        <v>0</v>
      </c>
      <c r="D84" s="263">
        <f t="shared" ref="D84:Q84" si="27">D82-D83</f>
        <v>0</v>
      </c>
      <c r="E84" s="263">
        <f t="shared" si="27"/>
        <v>0</v>
      </c>
      <c r="F84" s="263">
        <f t="shared" si="27"/>
        <v>0</v>
      </c>
      <c r="G84" s="263">
        <f t="shared" si="27"/>
        <v>0</v>
      </c>
      <c r="H84" s="263">
        <f t="shared" si="27"/>
        <v>0</v>
      </c>
      <c r="I84" s="263">
        <f t="shared" si="27"/>
        <v>0</v>
      </c>
      <c r="J84" s="263">
        <f t="shared" si="27"/>
        <v>-61848446</v>
      </c>
      <c r="K84" s="263">
        <f t="shared" si="27"/>
        <v>0</v>
      </c>
      <c r="L84" s="263">
        <f t="shared" si="27"/>
        <v>0</v>
      </c>
      <c r="M84" s="263">
        <f t="shared" si="27"/>
        <v>0</v>
      </c>
      <c r="N84" s="263">
        <f t="shared" si="27"/>
        <v>0</v>
      </c>
      <c r="O84" s="263">
        <f t="shared" si="27"/>
        <v>0</v>
      </c>
      <c r="P84" s="263">
        <f t="shared" si="27"/>
        <v>0</v>
      </c>
      <c r="Q84" s="317">
        <f t="shared" si="27"/>
        <v>0</v>
      </c>
      <c r="S84" s="324"/>
      <c r="T84" s="325">
        <f>SUM(T73:T83)</f>
        <v>2849500000</v>
      </c>
      <c r="U84" s="325"/>
      <c r="V84" s="325"/>
      <c r="W84" s="325"/>
      <c r="X84" s="325"/>
      <c r="Y84" s="325">
        <f t="shared" ref="Y84:Z84" si="28">SUM(Y73:Y83)</f>
        <v>0.488</v>
      </c>
      <c r="Z84" s="326">
        <f t="shared" si="28"/>
        <v>2948893267</v>
      </c>
    </row>
    <row r="85">
      <c r="A85" s="262"/>
      <c r="B85" s="297" t="s">
        <v>152</v>
      </c>
      <c r="C85" s="297">
        <f t="shared" ref="C85:P85" si="29">C81-C82+C83</f>
        <v>0</v>
      </c>
      <c r="D85" s="297">
        <f t="shared" si="29"/>
        <v>0</v>
      </c>
      <c r="E85" s="297">
        <f t="shared" si="29"/>
        <v>0</v>
      </c>
      <c r="F85" s="297">
        <f t="shared" si="29"/>
        <v>0</v>
      </c>
      <c r="G85" s="297">
        <f t="shared" si="29"/>
        <v>0</v>
      </c>
      <c r="H85" s="297">
        <f t="shared" si="29"/>
        <v>0</v>
      </c>
      <c r="I85" s="297">
        <f t="shared" si="29"/>
        <v>0</v>
      </c>
      <c r="J85" s="297">
        <f t="shared" si="29"/>
        <v>-846711658</v>
      </c>
      <c r="K85" s="297">
        <f t="shared" si="29"/>
        <v>10314000</v>
      </c>
      <c r="L85" s="297">
        <f t="shared" si="29"/>
        <v>14672000</v>
      </c>
      <c r="M85" s="297">
        <f t="shared" si="29"/>
        <v>35931800</v>
      </c>
      <c r="N85" s="297">
        <f t="shared" si="29"/>
        <v>13000000</v>
      </c>
      <c r="O85" s="297">
        <f t="shared" si="29"/>
        <v>2077300</v>
      </c>
      <c r="P85" s="297">
        <f t="shared" si="29"/>
        <v>33430250</v>
      </c>
      <c r="Q85" s="297">
        <f>Q81-Q82+Q83+Q84</f>
        <v>-273800000</v>
      </c>
      <c r="S85" s="327" t="s">
        <v>160</v>
      </c>
      <c r="T85" s="328">
        <f t="shared" ref="T85:U85" si="30">K99/sum($K99:$Q99)</f>
        <v>0.1738095947</v>
      </c>
      <c r="U85" s="328">
        <f t="shared" si="30"/>
        <v>0.07980138606</v>
      </c>
      <c r="V85" s="328">
        <f t="shared" ref="V85:Y85" si="31">N99/sum($K99:$Q99)</f>
        <v>0.3728440853</v>
      </c>
      <c r="W85" s="328">
        <f t="shared" si="31"/>
        <v>0.01510274828</v>
      </c>
      <c r="X85" s="328">
        <f t="shared" si="31"/>
        <v>0.3584421856</v>
      </c>
      <c r="Y85" s="328">
        <f t="shared" si="31"/>
        <v>0</v>
      </c>
    </row>
    <row r="86">
      <c r="A86" s="299"/>
      <c r="B86" s="300"/>
      <c r="C86" s="329">
        <f>sum(C85:Q85)</f>
        <v>-1011086308</v>
      </c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S86" s="327" t="s">
        <v>161</v>
      </c>
      <c r="T86" s="328">
        <f t="shared" ref="T86:U86" si="32">K100/sum($K100:$Q100)</f>
        <v>0.1010411262</v>
      </c>
      <c r="U86" s="328">
        <f t="shared" si="32"/>
        <v>0.007943054109</v>
      </c>
      <c r="V86" s="328">
        <f t="shared" ref="V86:Y86" si="33">N100/sum($K100:$Q100)</f>
        <v>0.06588626434</v>
      </c>
      <c r="W86" s="328">
        <f t="shared" si="33"/>
        <v>0.2682013305</v>
      </c>
      <c r="X86" s="328">
        <f t="shared" si="33"/>
        <v>0.5569282249</v>
      </c>
      <c r="Y86" s="328">
        <f t="shared" si="33"/>
        <v>0</v>
      </c>
    </row>
    <row r="87">
      <c r="A87" s="330"/>
      <c r="B87" s="306"/>
      <c r="C87" s="331"/>
      <c r="D87" s="331"/>
      <c r="E87" s="331"/>
      <c r="F87" s="331"/>
      <c r="G87" s="331"/>
      <c r="H87" s="331"/>
      <c r="I87" s="331"/>
      <c r="J87" s="331"/>
      <c r="K87" s="331"/>
      <c r="L87" s="331"/>
      <c r="Q87" s="289">
        <f>E77+D77+C77-P85-O85-L85-K85</f>
        <v>147850723</v>
      </c>
      <c r="S87" s="327" t="s">
        <v>162</v>
      </c>
      <c r="T87" s="328">
        <f t="shared" ref="T87:U87" si="34">K101/sum($K101:$Q101)</f>
        <v>0.1751404305</v>
      </c>
      <c r="U87" s="328">
        <f t="shared" si="34"/>
        <v>0.03051047045</v>
      </c>
      <c r="V87" s="328">
        <f t="shared" ref="V87:Y87" si="35">N101/sum($K101:$Q101)</f>
        <v>0.02444414048</v>
      </c>
      <c r="W87" s="328">
        <f t="shared" si="35"/>
        <v>0.00465412603</v>
      </c>
      <c r="X87" s="328">
        <f t="shared" si="35"/>
        <v>0.7652508326</v>
      </c>
      <c r="Y87" s="328">
        <f t="shared" si="35"/>
        <v>0</v>
      </c>
    </row>
    <row r="88">
      <c r="A88" s="332" t="s">
        <v>163</v>
      </c>
      <c r="B88" s="333" t="s">
        <v>11</v>
      </c>
      <c r="C88" s="334" t="s">
        <v>164</v>
      </c>
      <c r="E88" s="335" t="s">
        <v>165</v>
      </c>
      <c r="G88" s="336" t="s">
        <v>166</v>
      </c>
      <c r="I88" s="337" t="s">
        <v>167</v>
      </c>
      <c r="J88" s="338" t="s">
        <v>129</v>
      </c>
      <c r="M88" s="339"/>
      <c r="N88" s="339"/>
      <c r="O88" s="204"/>
      <c r="S88" s="340" t="s">
        <v>168</v>
      </c>
      <c r="T88" s="328">
        <f t="shared" ref="T88:U88" si="36">K102/sum($K102:$Q102)</f>
        <v>0.06793045035</v>
      </c>
      <c r="U88" s="328">
        <f t="shared" si="36"/>
        <v>0.02661240725</v>
      </c>
      <c r="V88" s="328">
        <f t="shared" ref="V88:Y88" si="37">N102/sum($K102:$Q102)</f>
        <v>0.03219467281</v>
      </c>
      <c r="W88" s="328">
        <f t="shared" si="37"/>
        <v>0.006324505849</v>
      </c>
      <c r="X88" s="328">
        <f t="shared" si="37"/>
        <v>0.8669379637</v>
      </c>
      <c r="Y88" s="328">
        <f t="shared" si="37"/>
        <v>0</v>
      </c>
    </row>
    <row r="89">
      <c r="A89" s="341"/>
      <c r="B89" s="342"/>
      <c r="C89" s="343" t="s">
        <v>169</v>
      </c>
      <c r="D89" s="343" t="s">
        <v>73</v>
      </c>
      <c r="E89" s="343" t="s">
        <v>170</v>
      </c>
      <c r="F89" s="343" t="s">
        <v>171</v>
      </c>
      <c r="G89" s="343" t="s">
        <v>172</v>
      </c>
      <c r="H89" s="343" t="s">
        <v>173</v>
      </c>
      <c r="I89" s="344" t="s">
        <v>23</v>
      </c>
      <c r="J89" s="343" t="s">
        <v>129</v>
      </c>
      <c r="K89" s="343" t="s">
        <v>130</v>
      </c>
      <c r="L89" s="343" t="s">
        <v>131</v>
      </c>
      <c r="M89" s="344"/>
      <c r="N89" s="344" t="s">
        <v>174</v>
      </c>
      <c r="O89" s="344" t="s">
        <v>175</v>
      </c>
      <c r="P89" s="257"/>
      <c r="S89" s="340" t="s">
        <v>176</v>
      </c>
      <c r="T89" s="328">
        <f t="shared" ref="T89:U89" si="38">K103/sum($K103:$Q103)</f>
        <v>0.05872352598</v>
      </c>
      <c r="U89" s="328">
        <f t="shared" si="38"/>
        <v>0.03869942337</v>
      </c>
      <c r="V89" s="328">
        <f t="shared" ref="V89:Y89" si="39">N103/sum($K103:$Q103)</f>
        <v>0.04992366113</v>
      </c>
      <c r="W89" s="328">
        <f t="shared" si="39"/>
        <v>0.09584905832</v>
      </c>
      <c r="X89" s="328">
        <f t="shared" si="39"/>
        <v>0.7568043312</v>
      </c>
      <c r="Y89" s="328">
        <f t="shared" si="39"/>
        <v>0</v>
      </c>
    </row>
    <row r="90">
      <c r="A90" s="341"/>
      <c r="B90" s="263" t="s">
        <v>148</v>
      </c>
      <c r="C90" s="213">
        <f>sumifs('25.06'!$H$7:$H$162,'25.06'!$D$7:$D$162,C$89)</f>
        <v>0</v>
      </c>
      <c r="D90" s="213">
        <f>sumifs('25.06'!$H$7:$H$162,'25.06'!$D$7:$D$162,D$89)</f>
        <v>0</v>
      </c>
      <c r="E90" s="213">
        <f>sumifs('25.06'!$H$7:$H$162,'25.06'!$D$7:$D$162,E$89)</f>
        <v>0</v>
      </c>
      <c r="F90" s="213">
        <f>sumifs('25.06'!$H$7:$H$162,'25.06'!$I$7:$I$162,F$89)</f>
        <v>0</v>
      </c>
      <c r="G90" s="213">
        <f>sumifs('25.06'!$H$7:$H$162,'25.06'!$D$7:$D$162,G$89)</f>
        <v>0</v>
      </c>
      <c r="H90" s="213">
        <f>sumifs('25.06'!$H$7:$H$162,'25.06'!$D$7:$D$162,H$89)</f>
        <v>0</v>
      </c>
      <c r="I90" s="213">
        <f>sumifs('25.06'!$H$7:$H$162,'25.06'!$D$7:$D$162,I$89)</f>
        <v>84157000</v>
      </c>
      <c r="J90" s="213">
        <f>sumifs('25.06'!$H$7:$H$162,'25.06'!$D$7:$D$162,J$89)</f>
        <v>0</v>
      </c>
      <c r="K90" s="213">
        <f>sumifs('25.06'!$H$7:$H$162,'25.06'!$D$7:$D$162,K$89)</f>
        <v>0</v>
      </c>
      <c r="L90" s="213">
        <f>sumifs('25.06'!$H$7:$H$162,'25.06'!$D$7:$D$162,L$89)</f>
        <v>0</v>
      </c>
      <c r="M90" s="213"/>
      <c r="N90" s="213">
        <f>sumifs('25.06'!$H$7:$H$162,'25.06'!$D$7:$D$162,N$89)</f>
        <v>0</v>
      </c>
      <c r="O90" s="345">
        <f>sumifs('25.06'!$H$7:$H$162,'25.06'!$D$7:$D$162,O$89)</f>
        <v>0</v>
      </c>
      <c r="P90" s="346">
        <f t="shared" ref="P90:P91" si="42">sum(C90:O90)</f>
        <v>84157000</v>
      </c>
      <c r="S90" s="340" t="s">
        <v>177</v>
      </c>
      <c r="T90" s="328">
        <f t="shared" ref="T90:U90" si="40">K104/sum($K104:$Q104)</f>
        <v>0.02704705624</v>
      </c>
      <c r="U90" s="328">
        <f t="shared" si="40"/>
        <v>0.2464242626</v>
      </c>
      <c r="V90" s="328">
        <f t="shared" ref="V90:Y90" si="41">N104/sum($K104:$Q104)</f>
        <v>0.009421152748</v>
      </c>
      <c r="W90" s="328">
        <f t="shared" si="41"/>
        <v>0.003726721815</v>
      </c>
      <c r="X90" s="328">
        <f t="shared" si="41"/>
        <v>0.5344981595</v>
      </c>
      <c r="Y90" s="328">
        <f t="shared" si="41"/>
        <v>0.1788826471</v>
      </c>
    </row>
    <row r="91">
      <c r="A91" s="341"/>
      <c r="B91" s="263" t="s">
        <v>149</v>
      </c>
      <c r="C91" s="213">
        <f>sumifs('25.06'!$H$7:$H$162,'25.06'!$G$7:$G$162,C$89)</f>
        <v>0</v>
      </c>
      <c r="D91" s="213">
        <f>sumifs('25.06'!$H$7:$H$162,'25.06'!$G$7:$G$162,D$89)</f>
        <v>0</v>
      </c>
      <c r="E91" s="213">
        <f>sumifs('25.06'!$H$7:$H$162,'25.06'!$G$7:$G$162,E$89)</f>
        <v>0</v>
      </c>
      <c r="F91" s="213">
        <f>sumifs('25.06'!$H$7:$H$162,'25.06'!$D$7:$D$162,F$89)</f>
        <v>0</v>
      </c>
      <c r="G91" s="213">
        <f>sumifs('25.06'!$H$7:$H$162,'25.06'!$G$7:$G$162,G$89)</f>
        <v>0</v>
      </c>
      <c r="H91" s="213">
        <f>sumifs('25.06'!$H$7:$H$162,'25.06'!$G$7:$G$162,H$89)</f>
        <v>0</v>
      </c>
      <c r="I91" s="213">
        <f>sum(L61:L69)</f>
        <v>22308554</v>
      </c>
      <c r="J91" s="213">
        <f>sumifs('25.06'!$H$7:$H$162,'25.06'!$G$7:$G$162,J$89)</f>
        <v>0</v>
      </c>
      <c r="K91" s="213">
        <f>sumifs('25.06'!$H$7:$H$162,'25.06'!$G$7:$G$162,K$89)</f>
        <v>0</v>
      </c>
      <c r="L91" s="213">
        <f>sumifs('25.06'!$H$7:$H$162,'25.06'!$G$7:$G$162,L$89)</f>
        <v>0</v>
      </c>
      <c r="M91" s="213"/>
      <c r="N91" s="213">
        <f>sumifs('25.06'!$H$7:$H$162,'25.06'!$G$7:$G$162,P$80)</f>
        <v>0</v>
      </c>
      <c r="O91" s="345">
        <f>sumifs('25.06'!$H$7:$H$162,'25.06'!$G$7:$G$162,O$89)</f>
        <v>0</v>
      </c>
      <c r="P91" s="289">
        <f t="shared" si="42"/>
        <v>22308554</v>
      </c>
      <c r="S91" s="340" t="s">
        <v>178</v>
      </c>
      <c r="T91" s="328">
        <f t="shared" ref="T91:U91" si="43">K105/sum($K105:$Q105)</f>
        <v>0.1423643936</v>
      </c>
      <c r="U91" s="328">
        <f t="shared" si="43"/>
        <v>0.1632786622</v>
      </c>
      <c r="V91" s="328">
        <f t="shared" ref="V91:Y91" si="44">N105/sum($K105:$Q105)</f>
        <v>0</v>
      </c>
      <c r="W91" s="328">
        <f t="shared" si="44"/>
        <v>0.2395458258</v>
      </c>
      <c r="X91" s="328">
        <f t="shared" si="44"/>
        <v>0.4548111184</v>
      </c>
      <c r="Y91" s="328">
        <f t="shared" si="44"/>
        <v>0</v>
      </c>
    </row>
    <row r="92">
      <c r="A92" s="341"/>
      <c r="B92" s="263" t="s">
        <v>151</v>
      </c>
      <c r="C92" s="263">
        <f t="shared" ref="C92:L92" si="45">C90-C91</f>
        <v>0</v>
      </c>
      <c r="D92" s="263">
        <f t="shared" si="45"/>
        <v>0</v>
      </c>
      <c r="E92" s="263">
        <f t="shared" si="45"/>
        <v>0</v>
      </c>
      <c r="F92" s="263">
        <f t="shared" si="45"/>
        <v>0</v>
      </c>
      <c r="G92" s="263">
        <f t="shared" si="45"/>
        <v>0</v>
      </c>
      <c r="H92" s="263">
        <f t="shared" si="45"/>
        <v>0</v>
      </c>
      <c r="I92" s="263">
        <f t="shared" si="45"/>
        <v>61848446</v>
      </c>
      <c r="J92" s="263">
        <f t="shared" si="45"/>
        <v>0</v>
      </c>
      <c r="K92" s="263">
        <f t="shared" si="45"/>
        <v>0</v>
      </c>
      <c r="L92" s="263">
        <f t="shared" si="45"/>
        <v>0</v>
      </c>
      <c r="M92" s="263"/>
      <c r="N92" s="263">
        <f t="shared" ref="N92:P92" si="46">N90-N91</f>
        <v>0</v>
      </c>
      <c r="O92" s="263">
        <f t="shared" si="46"/>
        <v>0</v>
      </c>
      <c r="P92" s="289">
        <f t="shared" si="46"/>
        <v>61848446</v>
      </c>
      <c r="S92" s="340" t="s">
        <v>179</v>
      </c>
      <c r="T92" s="328">
        <f t="shared" ref="T92:U92" si="47">K106/sum($K106:$Q106)</f>
        <v>0.0005164441499</v>
      </c>
      <c r="U92" s="328">
        <f t="shared" si="47"/>
        <v>0.1196715967</v>
      </c>
      <c r="V92" s="328">
        <f t="shared" ref="V92:Y92" si="48">N106/sum($K106:$Q106)</f>
        <v>0.02385202983</v>
      </c>
      <c r="W92" s="328">
        <f t="shared" si="48"/>
        <v>0.0256647841</v>
      </c>
      <c r="X92" s="328">
        <f t="shared" si="48"/>
        <v>0.4045364128</v>
      </c>
      <c r="Y92" s="328">
        <f t="shared" si="48"/>
        <v>0.4257587325</v>
      </c>
    </row>
    <row r="93">
      <c r="A93" s="341"/>
      <c r="B93" s="297" t="s">
        <v>152</v>
      </c>
      <c r="C93" s="347">
        <f>C92+D92</f>
        <v>0</v>
      </c>
      <c r="D93" s="348"/>
      <c r="E93" s="347">
        <f>E92+F92</f>
        <v>0</v>
      </c>
      <c r="F93" s="349"/>
      <c r="G93" s="347">
        <f>G92+H92</f>
        <v>0</v>
      </c>
      <c r="H93" s="349"/>
      <c r="I93" s="347">
        <f>I92</f>
        <v>61848446</v>
      </c>
      <c r="J93" s="347">
        <f>sum(J92:L92)</f>
        <v>0</v>
      </c>
      <c r="K93" s="349"/>
      <c r="L93" s="349"/>
      <c r="M93" s="201"/>
      <c r="N93" s="201"/>
      <c r="O93" s="201"/>
      <c r="S93" s="340" t="s">
        <v>180</v>
      </c>
      <c r="T93" s="328">
        <f t="shared" ref="T93:U93" si="49">K107/sum($K107:$Q107)</f>
        <v>0.1949143054</v>
      </c>
      <c r="U93" s="328">
        <f t="shared" si="49"/>
        <v>0.2033887097</v>
      </c>
      <c r="V93" s="328">
        <f t="shared" ref="V93:Y93" si="50">N107/sum($K107:$Q107)</f>
        <v>0.1168483584</v>
      </c>
      <c r="W93" s="328">
        <f t="shared" si="50"/>
        <v>0.03282940914</v>
      </c>
      <c r="X93" s="328">
        <f t="shared" si="50"/>
        <v>0.4520192174</v>
      </c>
      <c r="Y93" s="328">
        <f t="shared" si="50"/>
        <v>0</v>
      </c>
    </row>
    <row r="94">
      <c r="A94" s="350"/>
      <c r="B94" s="351"/>
      <c r="C94" s="352">
        <f>sum(C93:L93)</f>
        <v>61848446</v>
      </c>
      <c r="D94" s="353"/>
      <c r="E94" s="353"/>
      <c r="F94" s="353"/>
      <c r="G94" s="353"/>
      <c r="H94" s="353"/>
      <c r="I94" s="353"/>
      <c r="J94" s="353"/>
      <c r="K94" s="353"/>
      <c r="L94" s="353"/>
      <c r="M94" s="201"/>
      <c r="N94" s="201"/>
      <c r="O94" s="201"/>
      <c r="S94" s="340" t="s">
        <v>181</v>
      </c>
      <c r="T94" s="328">
        <f t="shared" ref="T94:U94" si="51">K108/sum($K108:$Q108)</f>
        <v>0.1191036758</v>
      </c>
      <c r="U94" s="328">
        <f t="shared" si="51"/>
        <v>0.01673160973</v>
      </c>
      <c r="V94" s="328">
        <f t="shared" ref="V94:Y94" si="52">N108/sum($K108:$Q108)</f>
        <v>0.03454495389</v>
      </c>
      <c r="W94" s="328">
        <f t="shared" si="52"/>
        <v>0.4542219336</v>
      </c>
      <c r="X94" s="328">
        <f t="shared" si="52"/>
        <v>0.1445063159</v>
      </c>
      <c r="Y94" s="328">
        <f t="shared" si="52"/>
        <v>0.2308915111</v>
      </c>
    </row>
    <row r="95" ht="37.5" customHeight="1">
      <c r="A95" s="258"/>
      <c r="B95" s="258"/>
      <c r="C95" s="354">
        <f>C98*C94</f>
        <v>15462111.5</v>
      </c>
      <c r="D95" s="354">
        <f>D98*C94</f>
        <v>8658782.44</v>
      </c>
      <c r="E95" s="354">
        <f>E98*C94</f>
        <v>4947875.68</v>
      </c>
      <c r="F95" s="354">
        <f>F98*C94</f>
        <v>4947875.68</v>
      </c>
      <c r="G95" s="354">
        <f>G98*C94</f>
        <v>18554533.8</v>
      </c>
      <c r="H95" s="354">
        <f>H98*C94</f>
        <v>9277266.9</v>
      </c>
      <c r="I95" s="258"/>
      <c r="J95" s="258"/>
      <c r="K95" s="258"/>
      <c r="L95" s="201"/>
      <c r="M95" s="201"/>
      <c r="N95" s="201"/>
      <c r="O95" s="204"/>
      <c r="S95" s="340" t="s">
        <v>182</v>
      </c>
      <c r="T95" s="328">
        <f t="shared" ref="T95:U95" si="53">K109/sum($K109:$Q109)</f>
        <v>0.120988956</v>
      </c>
      <c r="U95" s="328">
        <f t="shared" si="53"/>
        <v>0.02703353191</v>
      </c>
      <c r="V95" s="328">
        <f t="shared" ref="V95:Y95" si="54">N109/sum($K109:$Q109)</f>
        <v>0.4121753097</v>
      </c>
      <c r="W95" s="328">
        <f t="shared" si="54"/>
        <v>0.282462016</v>
      </c>
      <c r="X95" s="328">
        <f t="shared" si="54"/>
        <v>0.1573401864</v>
      </c>
      <c r="Y95" s="328">
        <f t="shared" si="54"/>
        <v>0</v>
      </c>
    </row>
    <row r="96" ht="37.5" customHeight="1">
      <c r="A96" s="258"/>
      <c r="B96" s="258"/>
      <c r="C96" s="355">
        <v>1.10751668E8</v>
      </c>
      <c r="D96" s="355">
        <v>6.8848813E7</v>
      </c>
      <c r="E96" s="355">
        <v>2.481177E7</v>
      </c>
      <c r="F96" s="355">
        <v>4.0700816E7</v>
      </c>
      <c r="G96" s="355">
        <v>8.5429754E7</v>
      </c>
      <c r="H96" s="355">
        <v>1.61520567E8</v>
      </c>
      <c r="I96" s="258"/>
      <c r="J96" s="258"/>
      <c r="K96" s="258"/>
      <c r="L96" s="201"/>
      <c r="M96" s="201"/>
      <c r="N96" s="201"/>
      <c r="O96" s="204"/>
      <c r="S96" s="340"/>
      <c r="T96" s="328"/>
      <c r="U96" s="328"/>
      <c r="V96" s="328"/>
      <c r="W96" s="328"/>
      <c r="X96" s="328"/>
      <c r="Y96" s="328"/>
    </row>
    <row r="97" ht="37.5" customHeight="1">
      <c r="A97" s="258" t="s">
        <v>183</v>
      </c>
      <c r="B97" s="356" t="s">
        <v>153</v>
      </c>
      <c r="C97" s="357" t="s">
        <v>57</v>
      </c>
      <c r="D97" s="357" t="s">
        <v>63</v>
      </c>
      <c r="E97" s="357" t="s">
        <v>70</v>
      </c>
      <c r="F97" s="357" t="s">
        <v>76</v>
      </c>
      <c r="G97" s="357" t="s">
        <v>82</v>
      </c>
      <c r="H97" s="358" t="s">
        <v>127</v>
      </c>
      <c r="I97" s="359" t="s">
        <v>184</v>
      </c>
      <c r="J97" s="356" t="s">
        <v>153</v>
      </c>
      <c r="K97" s="357" t="s">
        <v>57</v>
      </c>
      <c r="L97" s="357" t="s">
        <v>63</v>
      </c>
      <c r="M97" s="357"/>
      <c r="N97" s="357" t="s">
        <v>70</v>
      </c>
      <c r="O97" s="357" t="s">
        <v>76</v>
      </c>
      <c r="P97" s="357" t="s">
        <v>82</v>
      </c>
      <c r="Q97" s="358" t="s">
        <v>127</v>
      </c>
      <c r="R97" s="360" t="s">
        <v>185</v>
      </c>
      <c r="S97" s="340" t="s">
        <v>186</v>
      </c>
      <c r="T97" s="328" t="str">
        <f t="shared" ref="T97:U97" si="55">K110/sum($K110:$Q110)</f>
        <v>#DIV/0!</v>
      </c>
      <c r="U97" s="328" t="str">
        <f t="shared" si="55"/>
        <v>#DIV/0!</v>
      </c>
      <c r="V97" s="328" t="str">
        <f t="shared" ref="V97:Y97" si="56">N110/sum($K110:$Q110)</f>
        <v>#DIV/0!</v>
      </c>
      <c r="W97" s="328" t="str">
        <f t="shared" si="56"/>
        <v>#DIV/0!</v>
      </c>
      <c r="X97" s="328" t="str">
        <f t="shared" si="56"/>
        <v>#DIV/0!</v>
      </c>
      <c r="Y97" s="328" t="str">
        <f t="shared" si="56"/>
        <v>#DIV/0!</v>
      </c>
    </row>
    <row r="98" ht="37.5" customHeight="1">
      <c r="B98" s="361"/>
      <c r="C98" s="362">
        <v>0.25</v>
      </c>
      <c r="D98" s="363">
        <v>0.14</v>
      </c>
      <c r="E98" s="363">
        <v>0.08</v>
      </c>
      <c r="F98" s="363">
        <v>0.08</v>
      </c>
      <c r="G98" s="363">
        <v>0.3</v>
      </c>
      <c r="H98" s="364">
        <v>0.15</v>
      </c>
      <c r="I98" s="365"/>
      <c r="J98" s="361"/>
      <c r="K98" s="366"/>
      <c r="L98" s="367"/>
      <c r="M98" s="368"/>
      <c r="N98" s="368"/>
      <c r="O98" s="368"/>
      <c r="P98" s="368"/>
      <c r="Q98" s="366"/>
      <c r="R98" s="369"/>
      <c r="S98" s="259" t="s">
        <v>153</v>
      </c>
      <c r="T98" s="357" t="s">
        <v>57</v>
      </c>
      <c r="U98" s="357" t="s">
        <v>63</v>
      </c>
      <c r="V98" s="357" t="s">
        <v>70</v>
      </c>
      <c r="W98" s="357" t="s">
        <v>76</v>
      </c>
      <c r="X98" s="357" t="s">
        <v>82</v>
      </c>
      <c r="Y98" s="358" t="s">
        <v>127</v>
      </c>
    </row>
    <row r="99" ht="22.5" customHeight="1">
      <c r="B99" s="370" t="s">
        <v>160</v>
      </c>
      <c r="C99" s="371">
        <f t="shared" ref="C99:H99" si="57">$C$94*C$98</f>
        <v>15462111.5</v>
      </c>
      <c r="D99" s="371">
        <f t="shared" si="57"/>
        <v>8658782.44</v>
      </c>
      <c r="E99" s="371">
        <f t="shared" si="57"/>
        <v>4947875.68</v>
      </c>
      <c r="F99" s="371">
        <f t="shared" si="57"/>
        <v>4947875.68</v>
      </c>
      <c r="G99" s="371">
        <f t="shared" si="57"/>
        <v>18554533.8</v>
      </c>
      <c r="H99" s="371">
        <f t="shared" si="57"/>
        <v>9277266.9</v>
      </c>
      <c r="I99" s="365"/>
      <c r="J99" s="370" t="s">
        <v>160</v>
      </c>
      <c r="K99" s="372">
        <v>8148000.0</v>
      </c>
      <c r="L99" s="372">
        <v>3741000.0</v>
      </c>
      <c r="M99" s="372"/>
      <c r="N99" s="372">
        <v>1.7478515E7</v>
      </c>
      <c r="O99" s="372">
        <v>708000.0</v>
      </c>
      <c r="P99" s="372">
        <v>1.680337E7</v>
      </c>
      <c r="Q99" s="373">
        <f t="shared" ref="Q99:Q103" si="59">H$82</f>
        <v>0</v>
      </c>
      <c r="R99" s="369"/>
      <c r="S99" s="374"/>
      <c r="T99" s="368"/>
      <c r="U99" s="367"/>
      <c r="V99" s="368"/>
      <c r="W99" s="368"/>
      <c r="X99" s="368"/>
      <c r="Y99" s="366"/>
    </row>
    <row r="100" ht="22.5" customHeight="1">
      <c r="B100" s="370" t="s">
        <v>161</v>
      </c>
      <c r="C100" s="371">
        <f t="shared" ref="C100:H100" si="58">$C$94*C$98</f>
        <v>15462111.5</v>
      </c>
      <c r="D100" s="371">
        <f t="shared" si="58"/>
        <v>8658782.44</v>
      </c>
      <c r="E100" s="371">
        <f t="shared" si="58"/>
        <v>4947875.68</v>
      </c>
      <c r="F100" s="371">
        <f t="shared" si="58"/>
        <v>4947875.68</v>
      </c>
      <c r="G100" s="371">
        <f t="shared" si="58"/>
        <v>18554533.8</v>
      </c>
      <c r="H100" s="371">
        <f t="shared" si="58"/>
        <v>9277266.9</v>
      </c>
      <c r="I100" s="365"/>
      <c r="J100" s="370" t="s">
        <v>161</v>
      </c>
      <c r="K100" s="375">
        <v>1844500.0</v>
      </c>
      <c r="L100" s="375">
        <v>145000.0</v>
      </c>
      <c r="M100" s="375"/>
      <c r="N100" s="375">
        <v>1202750.0</v>
      </c>
      <c r="O100" s="375">
        <v>4896000.0</v>
      </c>
      <c r="P100" s="375">
        <v>1.0166693E7</v>
      </c>
      <c r="Q100" s="371">
        <f t="shared" si="59"/>
        <v>0</v>
      </c>
      <c r="R100" s="369"/>
      <c r="S100" s="376" t="s">
        <v>160</v>
      </c>
      <c r="T100" s="377">
        <f t="shared" ref="T100:T111" si="62">C99-K99</f>
        <v>7314111.5</v>
      </c>
      <c r="U100" s="378">
        <f t="shared" ref="U100:U111" si="63">L99-D99</f>
        <v>-4917782.44</v>
      </c>
      <c r="V100" s="377">
        <f t="shared" ref="V100:V111" si="64">E99-N99</f>
        <v>-12530639.32</v>
      </c>
      <c r="W100" s="377">
        <f t="shared" ref="W100:W111" si="65">O99-F99</f>
        <v>-4239875.68</v>
      </c>
      <c r="X100" s="379">
        <f t="shared" ref="X100:Y100" si="60">G99-P99</f>
        <v>1751163.8</v>
      </c>
      <c r="Y100" s="377">
        <f t="shared" si="60"/>
        <v>9277266.9</v>
      </c>
    </row>
    <row r="101" ht="22.5" customHeight="1">
      <c r="B101" s="370" t="s">
        <v>162</v>
      </c>
      <c r="C101" s="371">
        <f t="shared" ref="C101:H101" si="61">$C$94*C$98</f>
        <v>15462111.5</v>
      </c>
      <c r="D101" s="371">
        <f t="shared" si="61"/>
        <v>8658782.44</v>
      </c>
      <c r="E101" s="371">
        <f t="shared" si="61"/>
        <v>4947875.68</v>
      </c>
      <c r="F101" s="371">
        <f t="shared" si="61"/>
        <v>4947875.68</v>
      </c>
      <c r="G101" s="371">
        <f t="shared" si="61"/>
        <v>18554533.8</v>
      </c>
      <c r="H101" s="371">
        <f t="shared" si="61"/>
        <v>9277266.9</v>
      </c>
      <c r="I101" s="365"/>
      <c r="J101" s="370" t="s">
        <v>162</v>
      </c>
      <c r="K101" s="375">
        <v>2.1939E7</v>
      </c>
      <c r="L101" s="375">
        <v>3821900.0</v>
      </c>
      <c r="M101" s="375"/>
      <c r="N101" s="375">
        <v>3062000.0</v>
      </c>
      <c r="O101" s="375">
        <v>583000.0</v>
      </c>
      <c r="P101" s="375">
        <v>9.5859294E7</v>
      </c>
      <c r="Q101" s="371">
        <f t="shared" si="59"/>
        <v>0</v>
      </c>
      <c r="R101" s="369"/>
      <c r="S101" s="376" t="s">
        <v>161</v>
      </c>
      <c r="T101" s="377">
        <f t="shared" si="62"/>
        <v>13617611.5</v>
      </c>
      <c r="U101" s="378">
        <f t="shared" si="63"/>
        <v>-8513782.44</v>
      </c>
      <c r="V101" s="377">
        <f t="shared" si="64"/>
        <v>3745125.68</v>
      </c>
      <c r="W101" s="377">
        <f t="shared" si="65"/>
        <v>-51875.68</v>
      </c>
      <c r="X101" s="379">
        <f t="shared" ref="X101:Y101" si="66">G100-P100</f>
        <v>8387840.8</v>
      </c>
      <c r="Y101" s="377">
        <f t="shared" si="66"/>
        <v>9277266.9</v>
      </c>
    </row>
    <row r="102" ht="22.5" customHeight="1">
      <c r="B102" s="376" t="s">
        <v>168</v>
      </c>
      <c r="C102" s="371">
        <f t="shared" ref="C102:H102" si="67">$C$94*C$98</f>
        <v>15462111.5</v>
      </c>
      <c r="D102" s="371">
        <f t="shared" si="67"/>
        <v>8658782.44</v>
      </c>
      <c r="E102" s="371">
        <f t="shared" si="67"/>
        <v>4947875.68</v>
      </c>
      <c r="F102" s="371">
        <f t="shared" si="67"/>
        <v>4947875.68</v>
      </c>
      <c r="G102" s="371">
        <f t="shared" si="67"/>
        <v>18554533.8</v>
      </c>
      <c r="H102" s="371">
        <f t="shared" si="67"/>
        <v>9277266.9</v>
      </c>
      <c r="I102" s="365"/>
      <c r="J102" s="376" t="s">
        <v>168</v>
      </c>
      <c r="K102" s="375">
        <v>4393000.0</v>
      </c>
      <c r="L102" s="375">
        <v>1721000.0</v>
      </c>
      <c r="M102" s="375"/>
      <c r="N102" s="375">
        <v>2082000.0</v>
      </c>
      <c r="O102" s="375">
        <v>409000.0</v>
      </c>
      <c r="P102" s="375">
        <v>5.6064084E7</v>
      </c>
      <c r="Q102" s="371">
        <f t="shared" si="59"/>
        <v>0</v>
      </c>
      <c r="R102" s="369"/>
      <c r="S102" s="376" t="s">
        <v>162</v>
      </c>
      <c r="T102" s="377">
        <f t="shared" si="62"/>
        <v>-6476888.5</v>
      </c>
      <c r="U102" s="378">
        <f t="shared" si="63"/>
        <v>-4836882.44</v>
      </c>
      <c r="V102" s="377">
        <f t="shared" si="64"/>
        <v>1885875.68</v>
      </c>
      <c r="W102" s="377">
        <f t="shared" si="65"/>
        <v>-4364875.68</v>
      </c>
      <c r="X102" s="379">
        <f t="shared" ref="X102:Y102" si="68">G101-P101</f>
        <v>-77304760.2</v>
      </c>
      <c r="Y102" s="377">
        <f t="shared" si="68"/>
        <v>9277266.9</v>
      </c>
    </row>
    <row r="103" ht="22.5" customHeight="1">
      <c r="B103" s="376" t="s">
        <v>176</v>
      </c>
      <c r="C103" s="371">
        <f t="shared" ref="C103:H103" si="69">$C$94*C$98</f>
        <v>15462111.5</v>
      </c>
      <c r="D103" s="371">
        <f t="shared" si="69"/>
        <v>8658782.44</v>
      </c>
      <c r="E103" s="371">
        <f t="shared" si="69"/>
        <v>4947875.68</v>
      </c>
      <c r="F103" s="371">
        <f t="shared" si="69"/>
        <v>4947875.68</v>
      </c>
      <c r="G103" s="371">
        <f t="shared" si="69"/>
        <v>18554533.8</v>
      </c>
      <c r="H103" s="371">
        <f t="shared" si="69"/>
        <v>9277266.9</v>
      </c>
      <c r="I103" s="365"/>
      <c r="J103" s="376" t="s">
        <v>176</v>
      </c>
      <c r="K103" s="375">
        <v>3761700.0</v>
      </c>
      <c r="L103" s="375">
        <v>2479000.0</v>
      </c>
      <c r="M103" s="375"/>
      <c r="N103" s="375">
        <v>3198000.0</v>
      </c>
      <c r="O103" s="375">
        <v>6139880.0</v>
      </c>
      <c r="P103" s="375">
        <v>4.8479222E7</v>
      </c>
      <c r="Q103" s="371">
        <f t="shared" si="59"/>
        <v>0</v>
      </c>
      <c r="R103" s="369"/>
      <c r="S103" s="376" t="s">
        <v>168</v>
      </c>
      <c r="T103" s="377">
        <f t="shared" si="62"/>
        <v>11069111.5</v>
      </c>
      <c r="U103" s="378">
        <f t="shared" si="63"/>
        <v>-6937782.44</v>
      </c>
      <c r="V103" s="377">
        <f t="shared" si="64"/>
        <v>2865875.68</v>
      </c>
      <c r="W103" s="377">
        <f t="shared" si="65"/>
        <v>-4538875.68</v>
      </c>
      <c r="X103" s="379">
        <f t="shared" ref="X103:Y103" si="70">G102-P102</f>
        <v>-37509550.2</v>
      </c>
      <c r="Y103" s="377">
        <f t="shared" si="70"/>
        <v>9277266.9</v>
      </c>
    </row>
    <row r="104" ht="22.5" customHeight="1">
      <c r="B104" s="376" t="s">
        <v>177</v>
      </c>
      <c r="C104" s="371">
        <f t="shared" ref="C104:H104" si="71">$C$94*C$98</f>
        <v>15462111.5</v>
      </c>
      <c r="D104" s="371">
        <f t="shared" si="71"/>
        <v>8658782.44</v>
      </c>
      <c r="E104" s="371">
        <f t="shared" si="71"/>
        <v>4947875.68</v>
      </c>
      <c r="F104" s="371">
        <f t="shared" si="71"/>
        <v>4947875.68</v>
      </c>
      <c r="G104" s="371">
        <f t="shared" si="71"/>
        <v>18554533.8</v>
      </c>
      <c r="H104" s="371">
        <f t="shared" si="71"/>
        <v>9277266.9</v>
      </c>
      <c r="I104" s="365"/>
      <c r="J104" s="376" t="s">
        <v>177</v>
      </c>
      <c r="K104" s="375">
        <v>1814400.0</v>
      </c>
      <c r="L104" s="375">
        <v>1.65309E7</v>
      </c>
      <c r="M104" s="375"/>
      <c r="N104" s="375">
        <v>632000.0</v>
      </c>
      <c r="O104" s="375">
        <v>250000.0</v>
      </c>
      <c r="P104" s="375">
        <v>3.5855786E7</v>
      </c>
      <c r="Q104" s="375">
        <v>1.2E7</v>
      </c>
      <c r="R104" s="369"/>
      <c r="S104" s="376" t="s">
        <v>176</v>
      </c>
      <c r="T104" s="377">
        <f t="shared" si="62"/>
        <v>11700411.5</v>
      </c>
      <c r="U104" s="378">
        <f t="shared" si="63"/>
        <v>-6179782.44</v>
      </c>
      <c r="V104" s="377">
        <f t="shared" si="64"/>
        <v>1749875.68</v>
      </c>
      <c r="W104" s="377">
        <f t="shared" si="65"/>
        <v>1192004.32</v>
      </c>
      <c r="X104" s="379">
        <f t="shared" ref="X104:Y104" si="72">G103-P103</f>
        <v>-29924688.2</v>
      </c>
      <c r="Y104" s="377">
        <f t="shared" si="72"/>
        <v>9277266.9</v>
      </c>
    </row>
    <row r="105" ht="22.5" customHeight="1">
      <c r="B105" s="376" t="s">
        <v>178</v>
      </c>
      <c r="C105" s="371">
        <f t="shared" ref="C105:H105" si="73">$C$94*C$98</f>
        <v>15462111.5</v>
      </c>
      <c r="D105" s="371">
        <f t="shared" si="73"/>
        <v>8658782.44</v>
      </c>
      <c r="E105" s="371">
        <f t="shared" si="73"/>
        <v>4947875.68</v>
      </c>
      <c r="F105" s="371">
        <f t="shared" si="73"/>
        <v>4947875.68</v>
      </c>
      <c r="G105" s="371">
        <f t="shared" si="73"/>
        <v>18554533.8</v>
      </c>
      <c r="H105" s="371">
        <f t="shared" si="73"/>
        <v>9277266.9</v>
      </c>
      <c r="I105" s="365"/>
      <c r="J105" s="376" t="s">
        <v>178</v>
      </c>
      <c r="K105" s="375">
        <v>2909740.0</v>
      </c>
      <c r="L105" s="375">
        <v>3337200.0</v>
      </c>
      <c r="M105" s="375"/>
      <c r="N105" s="375">
        <v>0.0</v>
      </c>
      <c r="O105" s="375">
        <v>4896000.0</v>
      </c>
      <c r="P105" s="375">
        <v>9295738.0</v>
      </c>
      <c r="Q105" s="371">
        <f>H$82</f>
        <v>0</v>
      </c>
      <c r="R105" s="369"/>
      <c r="S105" s="376" t="s">
        <v>177</v>
      </c>
      <c r="T105" s="377">
        <f t="shared" si="62"/>
        <v>13647711.5</v>
      </c>
      <c r="U105" s="378">
        <f t="shared" si="63"/>
        <v>7872117.56</v>
      </c>
      <c r="V105" s="377">
        <f t="shared" si="64"/>
        <v>4315875.68</v>
      </c>
      <c r="W105" s="377">
        <f t="shared" si="65"/>
        <v>-4697875.68</v>
      </c>
      <c r="X105" s="379">
        <f t="shared" ref="X105:Y105" si="74">G104-P104</f>
        <v>-17301252.2</v>
      </c>
      <c r="Y105" s="377">
        <f t="shared" si="74"/>
        <v>-2722733.1</v>
      </c>
    </row>
    <row r="106" ht="22.5" customHeight="1">
      <c r="B106" s="376" t="s">
        <v>179</v>
      </c>
      <c r="C106" s="371">
        <f t="shared" ref="C106:H106" si="75">$C$94*C$98</f>
        <v>15462111.5</v>
      </c>
      <c r="D106" s="371">
        <f t="shared" si="75"/>
        <v>8658782.44</v>
      </c>
      <c r="E106" s="371">
        <f t="shared" si="75"/>
        <v>4947875.68</v>
      </c>
      <c r="F106" s="371">
        <f t="shared" si="75"/>
        <v>4947875.68</v>
      </c>
      <c r="G106" s="371">
        <f t="shared" si="75"/>
        <v>18554533.8</v>
      </c>
      <c r="H106" s="371">
        <f t="shared" si="75"/>
        <v>9277266.9</v>
      </c>
      <c r="I106" s="365"/>
      <c r="J106" s="376" t="s">
        <v>179</v>
      </c>
      <c r="K106" s="375">
        <v>21652.0</v>
      </c>
      <c r="L106" s="375">
        <v>5017250.0</v>
      </c>
      <c r="M106" s="375"/>
      <c r="N106" s="375">
        <v>1000000.0</v>
      </c>
      <c r="O106" s="375">
        <v>1076000.0</v>
      </c>
      <c r="P106" s="375">
        <v>1.6960251E7</v>
      </c>
      <c r="Q106" s="375">
        <v>1.785E7</v>
      </c>
      <c r="R106" s="369"/>
      <c r="S106" s="376" t="s">
        <v>178</v>
      </c>
      <c r="T106" s="377">
        <f t="shared" si="62"/>
        <v>12552371.5</v>
      </c>
      <c r="U106" s="378">
        <f t="shared" si="63"/>
        <v>-5321582.44</v>
      </c>
      <c r="V106" s="377">
        <f t="shared" si="64"/>
        <v>4947875.68</v>
      </c>
      <c r="W106" s="377">
        <f t="shared" si="65"/>
        <v>-51875.68</v>
      </c>
      <c r="X106" s="379">
        <f t="shared" ref="X106:Y106" si="76">G105-P105</f>
        <v>9258795.8</v>
      </c>
      <c r="Y106" s="377">
        <f t="shared" si="76"/>
        <v>9277266.9</v>
      </c>
    </row>
    <row r="107" ht="22.5" customHeight="1">
      <c r="B107" s="376" t="s">
        <v>180</v>
      </c>
      <c r="C107" s="371">
        <f t="shared" ref="C107:H107" si="77">$C$94*C$98</f>
        <v>15462111.5</v>
      </c>
      <c r="D107" s="371">
        <f t="shared" si="77"/>
        <v>8658782.44</v>
      </c>
      <c r="E107" s="371">
        <f t="shared" si="77"/>
        <v>4947875.68</v>
      </c>
      <c r="F107" s="371">
        <f t="shared" si="77"/>
        <v>4947875.68</v>
      </c>
      <c r="G107" s="371">
        <f t="shared" si="77"/>
        <v>18554533.8</v>
      </c>
      <c r="H107" s="371">
        <f t="shared" si="77"/>
        <v>9277266.9</v>
      </c>
      <c r="I107" s="365"/>
      <c r="J107" s="376" t="s">
        <v>180</v>
      </c>
      <c r="K107" s="375">
        <v>4669003.0</v>
      </c>
      <c r="L107" s="375">
        <v>4872000.0</v>
      </c>
      <c r="M107" s="375"/>
      <c r="N107" s="375">
        <v>2799001.0</v>
      </c>
      <c r="O107" s="375">
        <v>786400.0</v>
      </c>
      <c r="P107" s="375">
        <v>1.0827728E7</v>
      </c>
      <c r="Q107" s="371">
        <f>H$82</f>
        <v>0</v>
      </c>
      <c r="R107" s="369"/>
      <c r="S107" s="376" t="s">
        <v>179</v>
      </c>
      <c r="T107" s="377">
        <f t="shared" si="62"/>
        <v>15440459.5</v>
      </c>
      <c r="U107" s="378">
        <f t="shared" si="63"/>
        <v>-3641532.44</v>
      </c>
      <c r="V107" s="377">
        <f t="shared" si="64"/>
        <v>3947875.68</v>
      </c>
      <c r="W107" s="377">
        <f t="shared" si="65"/>
        <v>-3871875.68</v>
      </c>
      <c r="X107" s="379">
        <f t="shared" ref="X107:Y107" si="78">G106-P106</f>
        <v>1594282.8</v>
      </c>
      <c r="Y107" s="377">
        <f t="shared" si="78"/>
        <v>-8572733.1</v>
      </c>
    </row>
    <row r="108" ht="22.5" customHeight="1">
      <c r="B108" s="376" t="s">
        <v>181</v>
      </c>
      <c r="C108" s="371">
        <f t="shared" ref="C108:H108" si="79">$C$94*C$98</f>
        <v>15462111.5</v>
      </c>
      <c r="D108" s="371">
        <f t="shared" si="79"/>
        <v>8658782.44</v>
      </c>
      <c r="E108" s="371">
        <f t="shared" si="79"/>
        <v>4947875.68</v>
      </c>
      <c r="F108" s="371">
        <f t="shared" si="79"/>
        <v>4947875.68</v>
      </c>
      <c r="G108" s="371">
        <f t="shared" si="79"/>
        <v>18554533.8</v>
      </c>
      <c r="H108" s="371">
        <f t="shared" si="79"/>
        <v>9277266.9</v>
      </c>
      <c r="I108" s="365"/>
      <c r="J108" s="376" t="s">
        <v>181</v>
      </c>
      <c r="K108" s="375">
        <v>1.0129601E7</v>
      </c>
      <c r="L108" s="375">
        <v>1423000.0</v>
      </c>
      <c r="M108" s="375"/>
      <c r="N108" s="375">
        <v>2938000.0</v>
      </c>
      <c r="O108" s="375">
        <v>3.863094E7</v>
      </c>
      <c r="P108" s="375">
        <v>1.229006E7</v>
      </c>
      <c r="Q108" s="375">
        <v>1.9637E7</v>
      </c>
      <c r="R108" s="369"/>
      <c r="S108" s="376" t="s">
        <v>180</v>
      </c>
      <c r="T108" s="377">
        <f t="shared" si="62"/>
        <v>10793108.5</v>
      </c>
      <c r="U108" s="378">
        <f t="shared" si="63"/>
        <v>-3786782.44</v>
      </c>
      <c r="V108" s="377">
        <f t="shared" si="64"/>
        <v>2148874.68</v>
      </c>
      <c r="W108" s="377">
        <f t="shared" si="65"/>
        <v>-4161475.68</v>
      </c>
      <c r="X108" s="379">
        <f t="shared" ref="X108:Y108" si="80">G107-P107</f>
        <v>7726805.8</v>
      </c>
      <c r="Y108" s="377">
        <f t="shared" si="80"/>
        <v>9277266.9</v>
      </c>
    </row>
    <row r="109" ht="22.5" customHeight="1">
      <c r="B109" s="376" t="s">
        <v>182</v>
      </c>
      <c r="C109" s="375">
        <v>5.024321E7</v>
      </c>
      <c r="D109" s="375">
        <v>2.8136198E7</v>
      </c>
      <c r="E109" s="375">
        <v>1.6077827E7</v>
      </c>
      <c r="F109" s="375">
        <v>1.6077827E7</v>
      </c>
      <c r="G109" s="375">
        <v>6.0291852E7</v>
      </c>
      <c r="H109" s="375">
        <v>3.0145926E7</v>
      </c>
      <c r="I109" s="365"/>
      <c r="J109" s="376" t="s">
        <v>182</v>
      </c>
      <c r="K109" s="375">
        <v>4569500.0</v>
      </c>
      <c r="L109" s="375">
        <v>1021000.0</v>
      </c>
      <c r="M109" s="375"/>
      <c r="N109" s="375">
        <v>1.5567E7</v>
      </c>
      <c r="O109" s="375">
        <v>1.0668E7</v>
      </c>
      <c r="P109" s="375">
        <v>5942410.0</v>
      </c>
      <c r="Q109" s="371">
        <f>H$82</f>
        <v>0</v>
      </c>
      <c r="R109" s="369"/>
      <c r="S109" s="376" t="s">
        <v>181</v>
      </c>
      <c r="T109" s="377">
        <f t="shared" si="62"/>
        <v>5332510.5</v>
      </c>
      <c r="U109" s="378">
        <f t="shared" si="63"/>
        <v>-7235782.44</v>
      </c>
      <c r="V109" s="377">
        <f t="shared" si="64"/>
        <v>2009875.68</v>
      </c>
      <c r="W109" s="377">
        <f t="shared" si="65"/>
        <v>33683064.32</v>
      </c>
      <c r="X109" s="379">
        <f t="shared" ref="X109:Y109" si="81">G108-P108</f>
        <v>6264473.8</v>
      </c>
      <c r="Y109" s="377">
        <f t="shared" si="81"/>
        <v>-10359733.1</v>
      </c>
    </row>
    <row r="110" ht="22.5" customHeight="1">
      <c r="B110" s="376" t="s">
        <v>186</v>
      </c>
      <c r="C110" s="371">
        <f t="shared" ref="C110:H110" si="82">$C$94*C$98</f>
        <v>15462111.5</v>
      </c>
      <c r="D110" s="371">
        <f t="shared" si="82"/>
        <v>8658782.44</v>
      </c>
      <c r="E110" s="371">
        <f t="shared" si="82"/>
        <v>4947875.68</v>
      </c>
      <c r="F110" s="371">
        <f t="shared" si="82"/>
        <v>4947875.68</v>
      </c>
      <c r="G110" s="371">
        <f t="shared" si="82"/>
        <v>18554533.8</v>
      </c>
      <c r="H110" s="371">
        <f t="shared" si="82"/>
        <v>9277266.9</v>
      </c>
      <c r="I110" s="365"/>
      <c r="J110" s="376" t="s">
        <v>186</v>
      </c>
      <c r="K110" s="371">
        <f t="shared" ref="K110:L110" si="83">C$82</f>
        <v>0</v>
      </c>
      <c r="L110" s="371">
        <f t="shared" si="83"/>
        <v>0</v>
      </c>
      <c r="M110" s="371"/>
      <c r="N110" s="371">
        <f t="shared" ref="N110:Q110" si="84">E$82</f>
        <v>0</v>
      </c>
      <c r="O110" s="371">
        <f t="shared" si="84"/>
        <v>0</v>
      </c>
      <c r="P110" s="371">
        <f t="shared" si="84"/>
        <v>0</v>
      </c>
      <c r="Q110" s="371">
        <f t="shared" si="84"/>
        <v>0</v>
      </c>
      <c r="R110" s="369"/>
      <c r="S110" s="376" t="s">
        <v>182</v>
      </c>
      <c r="T110" s="377">
        <f t="shared" si="62"/>
        <v>45673710</v>
      </c>
      <c r="U110" s="378">
        <f t="shared" si="63"/>
        <v>-27115198</v>
      </c>
      <c r="V110" s="377">
        <f t="shared" si="64"/>
        <v>510827</v>
      </c>
      <c r="W110" s="377">
        <f t="shared" si="65"/>
        <v>-5409827</v>
      </c>
      <c r="X110" s="379">
        <f t="shared" ref="X110:Y110" si="85">G109-P109</f>
        <v>54349442</v>
      </c>
      <c r="Y110" s="377">
        <f t="shared" si="85"/>
        <v>30145926</v>
      </c>
    </row>
    <row r="111" ht="22.5" customHeight="1">
      <c r="B111" s="324"/>
      <c r="C111" s="380">
        <f t="shared" ref="C111:H111" si="86">sum(C99:C110)</f>
        <v>220326436.5</v>
      </c>
      <c r="D111" s="380">
        <f t="shared" si="86"/>
        <v>123382804.8</v>
      </c>
      <c r="E111" s="380">
        <f t="shared" si="86"/>
        <v>70504459.48</v>
      </c>
      <c r="F111" s="380">
        <f t="shared" si="86"/>
        <v>70504459.48</v>
      </c>
      <c r="G111" s="380">
        <f t="shared" si="86"/>
        <v>264391723.8</v>
      </c>
      <c r="H111" s="380">
        <f t="shared" si="86"/>
        <v>132195861.9</v>
      </c>
      <c r="I111" s="381"/>
      <c r="J111" s="380">
        <f t="shared" ref="J111:L111" si="87">sum(J99:J110)</f>
        <v>0</v>
      </c>
      <c r="K111" s="380">
        <f t="shared" si="87"/>
        <v>64200096</v>
      </c>
      <c r="L111" s="380">
        <f t="shared" si="87"/>
        <v>44109250</v>
      </c>
      <c r="M111" s="380"/>
      <c r="N111" s="380">
        <f t="shared" ref="N111:Q111" si="88">sum(N99:N110)</f>
        <v>49959266</v>
      </c>
      <c r="O111" s="380">
        <f t="shared" si="88"/>
        <v>69043220</v>
      </c>
      <c r="P111" s="380">
        <f t="shared" si="88"/>
        <v>318544636</v>
      </c>
      <c r="Q111" s="382">
        <f t="shared" si="88"/>
        <v>49487000</v>
      </c>
      <c r="R111" s="383"/>
      <c r="S111" s="376" t="s">
        <v>186</v>
      </c>
      <c r="T111" s="377">
        <f t="shared" si="62"/>
        <v>15462111.5</v>
      </c>
      <c r="U111" s="378">
        <f t="shared" si="63"/>
        <v>-8658782.44</v>
      </c>
      <c r="V111" s="377">
        <f t="shared" si="64"/>
        <v>4947875.68</v>
      </c>
      <c r="W111" s="377">
        <f t="shared" si="65"/>
        <v>-4947875.68</v>
      </c>
      <c r="X111" s="379">
        <f t="shared" ref="X111:Y111" si="89">G110-P110</f>
        <v>18554533.8</v>
      </c>
      <c r="Y111" s="377">
        <f t="shared" si="89"/>
        <v>9277266.9</v>
      </c>
    </row>
    <row r="112" ht="22.5" customHeight="1">
      <c r="A112" s="258"/>
      <c r="B112" s="384"/>
      <c r="C112" s="385">
        <v>500000.0</v>
      </c>
      <c r="D112" s="385">
        <v>200000.0</v>
      </c>
      <c r="E112" s="385">
        <v>100000.0</v>
      </c>
      <c r="F112" s="385">
        <v>50000.0</v>
      </c>
      <c r="G112" s="385">
        <v>20000.0</v>
      </c>
      <c r="H112" s="385">
        <v>10000.0</v>
      </c>
      <c r="I112" s="258"/>
      <c r="J112" s="386"/>
      <c r="K112" s="386">
        <f t="shared" ref="K112:L112" si="90">K111/12</f>
        <v>5350008</v>
      </c>
      <c r="L112" s="386">
        <f t="shared" si="90"/>
        <v>3675770.833</v>
      </c>
      <c r="M112" s="386"/>
      <c r="N112" s="386">
        <f t="shared" ref="N112:Q112" si="91">N111/12</f>
        <v>4163272.167</v>
      </c>
      <c r="O112" s="386">
        <f t="shared" si="91"/>
        <v>5753601.667</v>
      </c>
      <c r="P112" s="386">
        <f t="shared" si="91"/>
        <v>26545386.33</v>
      </c>
      <c r="Q112" s="386">
        <f t="shared" si="91"/>
        <v>4123916.667</v>
      </c>
      <c r="R112" s="387">
        <f>sum(K112:Q112)</f>
        <v>49611955.67</v>
      </c>
      <c r="S112" s="380">
        <f t="shared" ref="S112:Y112" si="92">sum(S100:S111)</f>
        <v>0</v>
      </c>
      <c r="T112" s="380">
        <f t="shared" si="92"/>
        <v>156126340.5</v>
      </c>
      <c r="U112" s="380">
        <f t="shared" si="92"/>
        <v>-79273554.84</v>
      </c>
      <c r="V112" s="380">
        <f t="shared" si="92"/>
        <v>20545193.48</v>
      </c>
      <c r="W112" s="380">
        <f t="shared" si="92"/>
        <v>-1461239.48</v>
      </c>
      <c r="X112" s="380">
        <f t="shared" si="92"/>
        <v>-54152912.2</v>
      </c>
      <c r="Y112" s="380">
        <f t="shared" si="92"/>
        <v>82708861.9</v>
      </c>
    </row>
    <row r="113" ht="22.5" customHeight="1">
      <c r="A113" s="258"/>
      <c r="B113" s="384"/>
      <c r="C113" s="385">
        <v>33.0</v>
      </c>
      <c r="D113" s="385">
        <v>12.0</v>
      </c>
      <c r="E113" s="385"/>
      <c r="F113" s="385">
        <v>6.0</v>
      </c>
      <c r="G113" s="385"/>
      <c r="H113" s="385"/>
      <c r="I113" s="258"/>
      <c r="J113" s="386"/>
      <c r="K113" s="388">
        <f t="shared" ref="K113:L113" si="93">K$112/$R$112</f>
        <v>0.1078370713</v>
      </c>
      <c r="L113" s="388">
        <f t="shared" si="93"/>
        <v>0.07409042405</v>
      </c>
      <c r="M113" s="388"/>
      <c r="N113" s="388">
        <f t="shared" ref="N113:Q113" si="94">N$112/$R$112</f>
        <v>0.08391671142</v>
      </c>
      <c r="O113" s="388">
        <f t="shared" si="94"/>
        <v>0.1159720795</v>
      </c>
      <c r="P113" s="388">
        <f t="shared" si="94"/>
        <v>0.5350602688</v>
      </c>
      <c r="Q113" s="388">
        <f t="shared" si="94"/>
        <v>0.08312344497</v>
      </c>
      <c r="R113" s="258"/>
      <c r="S113" s="386"/>
      <c r="T113" s="386"/>
      <c r="U113" s="386"/>
      <c r="V113" s="386"/>
      <c r="W113" s="386"/>
      <c r="X113" s="386"/>
      <c r="Y113" s="386"/>
    </row>
    <row r="114" ht="22.5" customHeight="1">
      <c r="A114" s="258"/>
      <c r="B114" s="389">
        <f>sum(C114:H114)</f>
        <v>19200000</v>
      </c>
      <c r="C114" s="386">
        <f t="shared" ref="C114:H114" si="95">C112*C113</f>
        <v>16500000</v>
      </c>
      <c r="D114" s="386">
        <f t="shared" si="95"/>
        <v>2400000</v>
      </c>
      <c r="E114" s="386">
        <f t="shared" si="95"/>
        <v>0</v>
      </c>
      <c r="F114" s="386">
        <f t="shared" si="95"/>
        <v>300000</v>
      </c>
      <c r="G114" s="386">
        <f t="shared" si="95"/>
        <v>0</v>
      </c>
      <c r="H114" s="386">
        <f t="shared" si="95"/>
        <v>0</v>
      </c>
      <c r="I114" s="387">
        <f>B114/2</f>
        <v>9600000</v>
      </c>
      <c r="J114" s="386"/>
      <c r="K114" s="385">
        <v>2000.0</v>
      </c>
      <c r="L114" s="385">
        <v>3.0</v>
      </c>
      <c r="M114" s="386">
        <f t="shared" ref="M114:M121" si="96">K114*L114</f>
        <v>6000</v>
      </c>
      <c r="N114" s="388"/>
      <c r="O114" s="388"/>
      <c r="P114" s="388"/>
      <c r="Q114" s="388"/>
      <c r="R114" s="258"/>
      <c r="S114" s="386"/>
      <c r="T114" s="386"/>
      <c r="U114" s="386"/>
      <c r="V114" s="386"/>
      <c r="W114" s="386"/>
      <c r="X114" s="386"/>
      <c r="Y114" s="386"/>
    </row>
    <row r="115" ht="22.5" customHeight="1">
      <c r="A115" s="258"/>
      <c r="B115" s="389"/>
      <c r="C115" s="385">
        <v>5.0</v>
      </c>
      <c r="D115" s="385">
        <v>2.0</v>
      </c>
      <c r="E115" s="385">
        <v>27.0</v>
      </c>
      <c r="F115" s="385">
        <v>23.0</v>
      </c>
      <c r="G115" s="385">
        <v>4.0</v>
      </c>
      <c r="H115" s="385">
        <v>2.0</v>
      </c>
      <c r="I115" s="387"/>
      <c r="J115" s="386"/>
      <c r="K115" s="385">
        <v>5000.0</v>
      </c>
      <c r="L115" s="385">
        <v>1.0</v>
      </c>
      <c r="M115" s="386">
        <f t="shared" si="96"/>
        <v>5000</v>
      </c>
      <c r="N115" s="388"/>
      <c r="O115" s="388"/>
      <c r="P115" s="388"/>
      <c r="Q115" s="388"/>
      <c r="R115" s="258"/>
      <c r="S115" s="386"/>
      <c r="T115" s="386"/>
      <c r="U115" s="386"/>
      <c r="V115" s="386"/>
      <c r="W115" s="386"/>
      <c r="X115" s="386"/>
      <c r="Y115" s="386"/>
    </row>
    <row r="116" ht="22.5" customHeight="1">
      <c r="A116" s="258"/>
      <c r="B116" s="389">
        <f>sum(C116:H116)</f>
        <v>6850000</v>
      </c>
      <c r="C116" s="385">
        <f t="shared" ref="C116:H116" si="97">C112*C115</f>
        <v>2500000</v>
      </c>
      <c r="D116" s="385">
        <f t="shared" si="97"/>
        <v>400000</v>
      </c>
      <c r="E116" s="385">
        <f t="shared" si="97"/>
        <v>2700000</v>
      </c>
      <c r="F116" s="385">
        <f t="shared" si="97"/>
        <v>1150000</v>
      </c>
      <c r="G116" s="385">
        <f t="shared" si="97"/>
        <v>80000</v>
      </c>
      <c r="H116" s="385">
        <f t="shared" si="97"/>
        <v>20000</v>
      </c>
      <c r="I116" s="387"/>
      <c r="J116" s="386"/>
      <c r="K116" s="385">
        <v>10000.0</v>
      </c>
      <c r="L116" s="385">
        <v>7.0</v>
      </c>
      <c r="M116" s="386">
        <f t="shared" si="96"/>
        <v>70000</v>
      </c>
      <c r="N116" s="388"/>
      <c r="O116" s="388"/>
      <c r="P116" s="388"/>
      <c r="Q116" s="388"/>
      <c r="R116" s="258"/>
      <c r="S116" s="386"/>
      <c r="T116" s="386"/>
      <c r="U116" s="386"/>
      <c r="V116" s="386"/>
      <c r="W116" s="386"/>
      <c r="X116" s="386"/>
      <c r="Y116" s="386"/>
    </row>
    <row r="117" ht="22.5" customHeight="1">
      <c r="A117" s="258"/>
      <c r="B117" s="389"/>
      <c r="C117" s="385">
        <v>500000.0</v>
      </c>
      <c r="D117" s="385">
        <v>200000.0</v>
      </c>
      <c r="E117" s="385">
        <v>100000.0</v>
      </c>
      <c r="F117" s="385">
        <v>50000.0</v>
      </c>
      <c r="G117" s="385">
        <v>20000.0</v>
      </c>
      <c r="H117" s="385">
        <v>10000.0</v>
      </c>
      <c r="I117" s="387"/>
      <c r="J117" s="386"/>
      <c r="K117" s="385">
        <v>20000.0</v>
      </c>
      <c r="L117" s="385">
        <v>2.0</v>
      </c>
      <c r="M117" s="386">
        <f t="shared" si="96"/>
        <v>40000</v>
      </c>
      <c r="N117" s="388"/>
      <c r="O117" s="388"/>
      <c r="P117" s="388"/>
      <c r="Q117" s="388"/>
      <c r="R117" s="258"/>
      <c r="S117" s="386"/>
      <c r="T117" s="386"/>
      <c r="U117" s="386"/>
      <c r="V117" s="386"/>
      <c r="W117" s="386"/>
      <c r="X117" s="386"/>
      <c r="Y117" s="386"/>
    </row>
    <row r="118" ht="22.5" customHeight="1">
      <c r="A118" s="258"/>
      <c r="B118" s="389"/>
      <c r="C118" s="385">
        <v>7.0</v>
      </c>
      <c r="D118" s="385">
        <v>12.0</v>
      </c>
      <c r="E118" s="385">
        <v>19.0</v>
      </c>
      <c r="F118" s="385">
        <v>31.0</v>
      </c>
      <c r="G118" s="385">
        <v>5.0</v>
      </c>
      <c r="H118" s="385">
        <v>5.0</v>
      </c>
      <c r="I118" s="387"/>
      <c r="J118" s="386"/>
      <c r="K118" s="385">
        <v>50000.0</v>
      </c>
      <c r="L118" s="385">
        <v>1.0</v>
      </c>
      <c r="M118" s="386">
        <f t="shared" si="96"/>
        <v>50000</v>
      </c>
      <c r="N118" s="388"/>
      <c r="O118" s="388"/>
      <c r="P118" s="388"/>
      <c r="Q118" s="388"/>
      <c r="R118" s="258"/>
      <c r="S118" s="386"/>
      <c r="T118" s="386"/>
      <c r="U118" s="386"/>
      <c r="V118" s="386"/>
      <c r="W118" s="386"/>
      <c r="X118" s="386"/>
      <c r="Y118" s="386"/>
    </row>
    <row r="119" ht="22.5" customHeight="1">
      <c r="A119" s="258"/>
      <c r="B119" s="389">
        <f>sum(C119:H119)</f>
        <v>9500000</v>
      </c>
      <c r="C119" s="386">
        <f t="shared" ref="C119:H119" si="98">C117*C118</f>
        <v>3500000</v>
      </c>
      <c r="D119" s="386">
        <f t="shared" si="98"/>
        <v>2400000</v>
      </c>
      <c r="E119" s="386">
        <f t="shared" si="98"/>
        <v>1900000</v>
      </c>
      <c r="F119" s="386">
        <f t="shared" si="98"/>
        <v>1550000</v>
      </c>
      <c r="G119" s="386">
        <f t="shared" si="98"/>
        <v>100000</v>
      </c>
      <c r="H119" s="386">
        <f t="shared" si="98"/>
        <v>50000</v>
      </c>
      <c r="I119" s="387"/>
      <c r="J119" s="386"/>
      <c r="K119" s="385">
        <v>100000.0</v>
      </c>
      <c r="L119" s="385">
        <v>5.0</v>
      </c>
      <c r="M119" s="386">
        <f t="shared" si="96"/>
        <v>500000</v>
      </c>
      <c r="N119" s="388"/>
      <c r="O119" s="388"/>
      <c r="P119" s="388"/>
      <c r="Q119" s="388"/>
      <c r="R119" s="258"/>
      <c r="S119" s="386"/>
      <c r="T119" s="386"/>
      <c r="U119" s="386"/>
      <c r="V119" s="386"/>
      <c r="W119" s="386"/>
      <c r="X119" s="386"/>
      <c r="Y119" s="386"/>
    </row>
    <row r="120" ht="22.5" customHeight="1">
      <c r="A120" s="258"/>
      <c r="B120" s="389">
        <v>9509000.0</v>
      </c>
      <c r="C120" s="385">
        <f>B120-800000</f>
        <v>8709000</v>
      </c>
      <c r="D120" s="385"/>
      <c r="E120" s="385"/>
      <c r="F120" s="385"/>
      <c r="G120" s="385"/>
      <c r="H120" s="385"/>
      <c r="I120" s="387"/>
      <c r="J120" s="386"/>
      <c r="K120" s="385">
        <v>200000.0</v>
      </c>
      <c r="L120" s="385">
        <v>24.0</v>
      </c>
      <c r="M120" s="386">
        <f t="shared" si="96"/>
        <v>4800000</v>
      </c>
      <c r="N120" s="388"/>
      <c r="O120" s="388"/>
      <c r="P120" s="388"/>
      <c r="Q120" s="388"/>
      <c r="R120" s="258"/>
      <c r="S120" s="386"/>
      <c r="T120" s="386"/>
      <c r="U120" s="386"/>
      <c r="V120" s="386"/>
      <c r="W120" s="386"/>
      <c r="X120" s="386"/>
      <c r="Y120" s="386"/>
    </row>
    <row r="121" ht="22.5" customHeight="1">
      <c r="A121" s="258"/>
      <c r="B121" s="389">
        <f>B120-C77</f>
        <v>-12991000</v>
      </c>
      <c r="C121" s="385"/>
      <c r="D121" s="385"/>
      <c r="E121" s="385"/>
      <c r="F121" s="385"/>
      <c r="G121" s="385"/>
      <c r="H121" s="385"/>
      <c r="I121" s="387"/>
      <c r="J121" s="386"/>
      <c r="K121" s="385">
        <v>500000.0</v>
      </c>
      <c r="L121" s="385">
        <v>45.0</v>
      </c>
      <c r="M121" s="386">
        <f t="shared" si="96"/>
        <v>22500000</v>
      </c>
      <c r="N121" s="386">
        <f>sum(M114:M121)</f>
        <v>27971000</v>
      </c>
      <c r="O121" s="388"/>
      <c r="P121" s="388"/>
      <c r="Q121" s="388"/>
      <c r="R121" s="258"/>
      <c r="S121" s="386"/>
      <c r="T121" s="386"/>
      <c r="U121" s="386"/>
      <c r="V121" s="386"/>
      <c r="W121" s="386"/>
      <c r="X121" s="386"/>
      <c r="Y121" s="386"/>
    </row>
  </sheetData>
  <mergeCells count="33">
    <mergeCell ref="A1:AA1"/>
    <mergeCell ref="C2:L2"/>
    <mergeCell ref="S2:AA2"/>
    <mergeCell ref="P4:P9"/>
    <mergeCell ref="Q4:Q9"/>
    <mergeCell ref="P10:P16"/>
    <mergeCell ref="Q10:Q16"/>
    <mergeCell ref="E88:F88"/>
    <mergeCell ref="G88:H88"/>
    <mergeCell ref="C88:D88"/>
    <mergeCell ref="C93:D93"/>
    <mergeCell ref="A97:A111"/>
    <mergeCell ref="E93:F93"/>
    <mergeCell ref="G93:H93"/>
    <mergeCell ref="I97:I111"/>
    <mergeCell ref="J93:L93"/>
    <mergeCell ref="C94:L94"/>
    <mergeCell ref="P55:P57"/>
    <mergeCell ref="A72:A78"/>
    <mergeCell ref="C78:K78"/>
    <mergeCell ref="A80:A86"/>
    <mergeCell ref="C86:P86"/>
    <mergeCell ref="A88:A94"/>
    <mergeCell ref="J88:L88"/>
    <mergeCell ref="R72:R83"/>
    <mergeCell ref="R97:R111"/>
    <mergeCell ref="P17:P22"/>
    <mergeCell ref="Q17:Q22"/>
    <mergeCell ref="P23:P28"/>
    <mergeCell ref="Q23:Q28"/>
    <mergeCell ref="P29:P54"/>
    <mergeCell ref="Q29:Q54"/>
    <mergeCell ref="Q55:Q57"/>
  </mergeCells>
  <conditionalFormatting sqref="T99:Z111 AA99:AA110">
    <cfRule type="cellIs" dxfId="3" priority="1" operator="greaterThan">
      <formula>0</formula>
    </cfRule>
  </conditionalFormatting>
  <conditionalFormatting sqref="T99:Z111 AA99:AA110">
    <cfRule type="cellIs" dxfId="4" priority="2" operator="lessThan">
      <formula>0</formula>
    </cfRule>
  </conditionalFormatting>
  <dataValidations>
    <dataValidation type="list" allowBlank="1" showErrorMessage="1" sqref="M80:N80">
      <formula1>"Education fee,Extra Education fee,Talent Education fee,Books,Stationery,Travel,Café,Restaurant,Sightseeing,Exhibition,Museum,Funeral,Wedding,Gift,Charity,Spirituality,Medical exam,Body care,Cosmetic,Medical Insurrance,Go Market,Breakfast,Extra meal,Nghĩa,"&amp;"Mai,Totto,Lego,Phone,Internet,Spotify,Banking information,Fuel,Motorcycle maintenance,Parking,Cleaning home,House shopping,House repair,Electricity,Water,Savings,Life Insurance,Design,Construction,T. Electricity,T. Water,T. Cleaning,T. shopping,T. Mainter"&amp;"nance,T. Exchange,T. Tax &amp; Social,T. Renovation,ID Student,A4 Class,Education,Enjoy,For give,Health,Living,Wearing,Information,Transportation,Housing maintenace,Living Expense,Savings,N&amp;M Studio,Togohub management,Totto fund,Lego fund,N&amp;M Salary,Loan,Papa"&amp;" fund,Nghia fund"</formula1>
    </dataValidation>
    <dataValidation type="list" allowBlank="1" showErrorMessage="1" sqref="B5:B9 B11:B16 B18:B22 B24:B28 B31:B33 B35:B38 B40:B43 B45:B47 B49:B51 B53:B54 B56:B57 B59:B60 B62:B69">
      <formula1>"Education fee,Extra Education fee,Talent Education fee,Books,Stationery,Travel,Café,Restaurant,Sightseeing,Exhibition,Museum,Funeral,Wedding,Gift,Charity,Spirituality,Medical exam,Body care,Cosmetic,Medical Insurrance,Go Market,Breakfast,Extra meal,Nghĩa,"&amp;"Mai,Totto,Lego,Phone,Internet,Spotify,Banking information,Fuel,Motorcycle maintenance,Parking,Cleaning home,House shopping,House repair,Electricity,Water,Savings,Life Insurance,Design,Construction,T. Electricity,T. Water,T. Cleaning,T. shopping,T. Mainter"&amp;"nance,T. Exchange,T. Tax &amp; Social,T. Renovation,Tablets"</formula1>
    </dataValidation>
    <dataValidation type="list" allowBlank="1" showErrorMessage="1" sqref="B4 B10 B17 B23 B29 B55 B58 B61 C80:L80 O80:Q80 C97:H97 K97:Q98 T98:Y99">
      <formula1>"Education,Enjoy,For give,Health,Living,Savings,N&amp;M studio,Togohub management,Totto Fund,Lego Fund,ID student,A4 Class,Loan"</formula1>
    </dataValidation>
    <dataValidation type="list" allowBlank="1" showErrorMessage="1" sqref="C3:K3 R3:Z3 C72:K72">
      <formula1>"Cash,BIDV,Vietcombank,Vp bank Lady,Moca,Momo,Zalo,Saving"</formula1>
    </dataValidation>
    <dataValidation type="list" allowBlank="1" showErrorMessage="1" sqref="B30 B34 B39 B44 B48 B52">
      <formula1>"Eating,Wearing,Information,Transportation,Housing maintenance,Living Expense"</formula1>
    </dataValidation>
    <dataValidation type="list" allowBlank="1" showErrorMessage="1" sqref="C89:O89">
      <formula1>"Family,Gift,Design,Construction,UAD,N&amp;M studio,Saving interest,Banking interest,House rental money,Trash,A4 Class Parents,N&amp;M Salary"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10" width="12.63"/>
    <col customWidth="1" min="11" max="11" width="78.5"/>
    <col customWidth="1" min="12" max="12" width="12.63"/>
  </cols>
  <sheetData>
    <row r="1" ht="37.5" customHeight="1">
      <c r="A1" s="390"/>
      <c r="B1" s="391">
        <v>2023.0</v>
      </c>
      <c r="C1" s="392" t="str">
        <f>'25.06'!H170</f>
        <v>#REF!</v>
      </c>
      <c r="D1" s="393"/>
      <c r="E1" s="393"/>
      <c r="F1" s="394"/>
      <c r="G1" s="394"/>
      <c r="H1" s="394"/>
      <c r="I1" s="394"/>
      <c r="J1" s="394"/>
      <c r="K1" s="394"/>
      <c r="L1" s="394"/>
    </row>
    <row r="2" ht="37.5" customHeight="1">
      <c r="A2" s="390"/>
      <c r="B2" s="395" t="s">
        <v>187</v>
      </c>
      <c r="C2" s="396" t="s">
        <v>164</v>
      </c>
      <c r="D2" s="397" t="s">
        <v>165</v>
      </c>
      <c r="E2" s="398" t="s">
        <v>166</v>
      </c>
      <c r="F2" s="399" t="s">
        <v>167</v>
      </c>
      <c r="G2" s="400" t="s">
        <v>129</v>
      </c>
      <c r="H2" s="401" t="s">
        <v>188</v>
      </c>
      <c r="I2" s="402"/>
      <c r="J2" s="394"/>
      <c r="K2" s="394"/>
      <c r="L2" s="394"/>
    </row>
    <row r="3" ht="37.5" customHeight="1">
      <c r="A3" s="390"/>
      <c r="B3" s="376" t="s">
        <v>160</v>
      </c>
      <c r="C3" s="403">
        <v>2.1558531E7</v>
      </c>
      <c r="D3" s="404">
        <v>2.07E7</v>
      </c>
      <c r="E3" s="404">
        <v>880.0</v>
      </c>
      <c r="F3" s="404">
        <v>-4.1027927E7</v>
      </c>
      <c r="G3" s="404">
        <v>2.5182248E7</v>
      </c>
      <c r="H3" s="405">
        <f>sum(C3:G3)</f>
        <v>26413732</v>
      </c>
      <c r="I3" s="406"/>
      <c r="J3" s="392"/>
      <c r="K3" s="392"/>
      <c r="L3" s="392"/>
    </row>
    <row r="4" ht="37.5" customHeight="1">
      <c r="A4" s="390"/>
      <c r="B4" s="376" t="s">
        <v>161</v>
      </c>
      <c r="C4" s="407"/>
      <c r="D4" s="408"/>
      <c r="E4" s="408"/>
      <c r="F4" s="408"/>
      <c r="G4" s="408"/>
      <c r="H4" s="405"/>
      <c r="I4" s="406"/>
      <c r="J4" s="392"/>
      <c r="L4" s="392"/>
    </row>
    <row r="5" ht="37.5" customHeight="1">
      <c r="A5" s="390"/>
      <c r="B5" s="376" t="s">
        <v>162</v>
      </c>
      <c r="C5" s="407"/>
      <c r="D5" s="409"/>
      <c r="E5" s="409"/>
      <c r="F5" s="409"/>
      <c r="G5" s="409"/>
      <c r="H5" s="405"/>
      <c r="I5" s="406"/>
      <c r="J5" s="392"/>
      <c r="L5" s="392"/>
    </row>
    <row r="6" ht="37.5" customHeight="1">
      <c r="A6" s="390"/>
      <c r="B6" s="376" t="s">
        <v>168</v>
      </c>
      <c r="C6" s="410"/>
      <c r="D6" s="409"/>
      <c r="E6" s="409"/>
      <c r="F6" s="409"/>
      <c r="G6" s="409"/>
      <c r="H6" s="405"/>
      <c r="I6" s="406"/>
      <c r="J6" s="392"/>
      <c r="L6" s="392"/>
    </row>
    <row r="7" ht="37.5" customHeight="1">
      <c r="A7" s="390"/>
      <c r="B7" s="376" t="s">
        <v>176</v>
      </c>
      <c r="C7" s="410"/>
      <c r="D7" s="408"/>
      <c r="E7" s="409"/>
      <c r="F7" s="409"/>
      <c r="G7" s="409"/>
      <c r="H7" s="405"/>
      <c r="I7" s="406"/>
      <c r="J7" s="392"/>
      <c r="L7" s="392"/>
    </row>
    <row r="8" ht="37.5" customHeight="1">
      <c r="A8" s="390"/>
      <c r="B8" s="376" t="s">
        <v>177</v>
      </c>
      <c r="C8" s="411"/>
      <c r="D8" s="412"/>
      <c r="E8" s="413"/>
      <c r="F8" s="413"/>
      <c r="G8" s="413"/>
      <c r="H8" s="405"/>
      <c r="I8" s="406"/>
      <c r="J8" s="392"/>
      <c r="L8" s="392"/>
    </row>
    <row r="9" ht="37.5" customHeight="1">
      <c r="A9" s="390"/>
      <c r="B9" s="376" t="s">
        <v>178</v>
      </c>
      <c r="C9" s="414"/>
      <c r="D9" s="414"/>
      <c r="E9" s="414"/>
      <c r="F9" s="414"/>
      <c r="G9" s="414"/>
      <c r="H9" s="405"/>
      <c r="I9" s="406"/>
      <c r="J9" s="392"/>
      <c r="L9" s="392"/>
    </row>
    <row r="10" ht="37.5" customHeight="1">
      <c r="A10" s="390"/>
      <c r="B10" s="376" t="s">
        <v>179</v>
      </c>
      <c r="C10" s="414"/>
      <c r="D10" s="414"/>
      <c r="E10" s="414"/>
      <c r="F10" s="414"/>
      <c r="G10" s="414"/>
      <c r="H10" s="405"/>
      <c r="I10" s="406"/>
      <c r="J10" s="392"/>
      <c r="L10" s="392"/>
    </row>
    <row r="11" ht="37.5" customHeight="1">
      <c r="A11" s="390"/>
      <c r="B11" s="376" t="s">
        <v>180</v>
      </c>
      <c r="C11" s="414"/>
      <c r="D11" s="414"/>
      <c r="E11" s="414"/>
      <c r="F11" s="414"/>
      <c r="G11" s="414"/>
      <c r="H11" s="405"/>
      <c r="I11" s="406"/>
      <c r="J11" s="392"/>
      <c r="L11" s="392"/>
    </row>
    <row r="12" ht="37.5" customHeight="1">
      <c r="A12" s="390"/>
      <c r="B12" s="376" t="s">
        <v>181</v>
      </c>
      <c r="C12" s="414"/>
      <c r="D12" s="414"/>
      <c r="E12" s="414"/>
      <c r="F12" s="414"/>
      <c r="G12" s="414"/>
      <c r="H12" s="405"/>
      <c r="I12" s="406"/>
      <c r="J12" s="392"/>
      <c r="K12" s="392"/>
      <c r="L12" s="392"/>
    </row>
    <row r="13" ht="37.5" customHeight="1">
      <c r="A13" s="390"/>
      <c r="B13" s="376" t="s">
        <v>182</v>
      </c>
      <c r="C13" s="414"/>
      <c r="D13" s="414"/>
      <c r="E13" s="414"/>
      <c r="F13" s="414"/>
      <c r="G13" s="414"/>
      <c r="H13" s="405"/>
      <c r="I13" s="406"/>
      <c r="J13" s="392"/>
      <c r="K13" s="392"/>
      <c r="L13" s="392"/>
    </row>
    <row r="14" ht="37.5" customHeight="1">
      <c r="A14" s="390"/>
      <c r="B14" s="376" t="s">
        <v>186</v>
      </c>
      <c r="C14" s="414"/>
      <c r="D14" s="414"/>
      <c r="E14" s="414"/>
      <c r="F14" s="414"/>
      <c r="G14" s="414"/>
      <c r="H14" s="405"/>
      <c r="I14" s="406"/>
      <c r="J14" s="392"/>
      <c r="K14" s="392"/>
      <c r="L14" s="392"/>
    </row>
    <row r="15" ht="37.5" customHeight="1">
      <c r="A15" s="390"/>
      <c r="B15" s="415" t="s">
        <v>137</v>
      </c>
      <c r="C15" s="416">
        <f t="shared" ref="C15:H15" si="1">sum(C3:C14)/12</f>
        <v>1796544.25</v>
      </c>
      <c r="D15" s="416">
        <f t="shared" si="1"/>
        <v>1725000</v>
      </c>
      <c r="E15" s="416">
        <f t="shared" si="1"/>
        <v>73.33333333</v>
      </c>
      <c r="F15" s="416">
        <f t="shared" si="1"/>
        <v>-3418993.917</v>
      </c>
      <c r="G15" s="416">
        <f t="shared" si="1"/>
        <v>2098520.667</v>
      </c>
      <c r="H15" s="416">
        <f t="shared" si="1"/>
        <v>2201144.333</v>
      </c>
      <c r="I15" s="417"/>
      <c r="J15" s="394"/>
      <c r="K15" s="394"/>
      <c r="L15" s="394"/>
    </row>
    <row r="16" ht="37.5" customHeight="1">
      <c r="A16" s="390"/>
      <c r="B16" s="418"/>
      <c r="C16" s="392"/>
      <c r="D16" s="392"/>
      <c r="E16" s="392"/>
      <c r="F16" s="392"/>
      <c r="G16" s="392"/>
      <c r="H16" s="419"/>
      <c r="I16" s="394"/>
      <c r="J16" s="394"/>
      <c r="K16" s="394"/>
      <c r="L16" s="394"/>
    </row>
    <row r="17" ht="37.5" customHeight="1">
      <c r="A17" s="390"/>
      <c r="B17" s="259" t="s">
        <v>153</v>
      </c>
      <c r="C17" s="420" t="s">
        <v>57</v>
      </c>
      <c r="D17" s="421" t="s">
        <v>63</v>
      </c>
      <c r="E17" s="421" t="s">
        <v>70</v>
      </c>
      <c r="F17" s="421" t="s">
        <v>76</v>
      </c>
      <c r="G17" s="421" t="s">
        <v>82</v>
      </c>
      <c r="H17" s="422" t="s">
        <v>127</v>
      </c>
      <c r="I17" s="423"/>
      <c r="J17" s="423"/>
      <c r="K17" s="423"/>
      <c r="L17" s="423"/>
    </row>
    <row r="18" ht="37.5" customHeight="1">
      <c r="A18" s="390"/>
      <c r="B18" s="376" t="s">
        <v>160</v>
      </c>
      <c r="C18" s="424">
        <v>1.0155E7</v>
      </c>
      <c r="D18" s="425">
        <v>515000.0</v>
      </c>
      <c r="E18" s="425">
        <v>4679000.0</v>
      </c>
      <c r="F18" s="425">
        <v>0.0</v>
      </c>
      <c r="G18" s="425">
        <v>2.3138163E7</v>
      </c>
      <c r="H18" s="425">
        <v>0.0</v>
      </c>
      <c r="I18" s="419"/>
      <c r="J18" s="419"/>
      <c r="K18" s="419"/>
      <c r="L18" s="419"/>
    </row>
    <row r="19" ht="37.5" customHeight="1">
      <c r="A19" s="390"/>
      <c r="B19" s="376" t="s">
        <v>161</v>
      </c>
      <c r="C19" s="426" t="str">
        <f t="shared" ref="C19:H19" si="2">$H4*#REF!</f>
        <v>#REF!</v>
      </c>
      <c r="D19" s="427" t="str">
        <f t="shared" si="2"/>
        <v>#REF!</v>
      </c>
      <c r="E19" s="427" t="str">
        <f t="shared" si="2"/>
        <v>#REF!</v>
      </c>
      <c r="F19" s="427" t="str">
        <f t="shared" si="2"/>
        <v>#REF!</v>
      </c>
      <c r="G19" s="427" t="str">
        <f t="shared" si="2"/>
        <v>#REF!</v>
      </c>
      <c r="H19" s="427" t="str">
        <f t="shared" si="2"/>
        <v>#REF!</v>
      </c>
      <c r="I19" s="419"/>
      <c r="J19" s="419"/>
      <c r="L19" s="419"/>
    </row>
    <row r="20" ht="37.5" customHeight="1">
      <c r="A20" s="390"/>
      <c r="B20" s="376" t="s">
        <v>162</v>
      </c>
      <c r="C20" s="426" t="str">
        <f t="shared" ref="C20:H20" si="3">$H5*#REF!</f>
        <v>#REF!</v>
      </c>
      <c r="D20" s="427" t="str">
        <f t="shared" si="3"/>
        <v>#REF!</v>
      </c>
      <c r="E20" s="427" t="str">
        <f t="shared" si="3"/>
        <v>#REF!</v>
      </c>
      <c r="F20" s="427" t="str">
        <f t="shared" si="3"/>
        <v>#REF!</v>
      </c>
      <c r="G20" s="427" t="str">
        <f t="shared" si="3"/>
        <v>#REF!</v>
      </c>
      <c r="H20" s="427" t="str">
        <f t="shared" si="3"/>
        <v>#REF!</v>
      </c>
      <c r="I20" s="419"/>
      <c r="J20" s="419"/>
      <c r="L20" s="419"/>
    </row>
    <row r="21" ht="37.5" customHeight="1">
      <c r="A21" s="390"/>
      <c r="B21" s="376" t="s">
        <v>168</v>
      </c>
      <c r="C21" s="426" t="str">
        <f t="shared" ref="C21:H21" si="4">$H6*#REF!</f>
        <v>#REF!</v>
      </c>
      <c r="D21" s="427" t="str">
        <f t="shared" si="4"/>
        <v>#REF!</v>
      </c>
      <c r="E21" s="427" t="str">
        <f t="shared" si="4"/>
        <v>#REF!</v>
      </c>
      <c r="F21" s="427" t="str">
        <f t="shared" si="4"/>
        <v>#REF!</v>
      </c>
      <c r="G21" s="427" t="str">
        <f t="shared" si="4"/>
        <v>#REF!</v>
      </c>
      <c r="H21" s="427" t="str">
        <f t="shared" si="4"/>
        <v>#REF!</v>
      </c>
      <c r="I21" s="419"/>
      <c r="J21" s="419"/>
      <c r="L21" s="419"/>
    </row>
    <row r="22" ht="37.5" customHeight="1">
      <c r="A22" s="390"/>
      <c r="B22" s="376" t="s">
        <v>176</v>
      </c>
      <c r="C22" s="426" t="str">
        <f t="shared" ref="C22:H22" si="5">$H7*#REF!</f>
        <v>#REF!</v>
      </c>
      <c r="D22" s="427" t="str">
        <f t="shared" si="5"/>
        <v>#REF!</v>
      </c>
      <c r="E22" s="427" t="str">
        <f t="shared" si="5"/>
        <v>#REF!</v>
      </c>
      <c r="F22" s="427" t="str">
        <f t="shared" si="5"/>
        <v>#REF!</v>
      </c>
      <c r="G22" s="427" t="str">
        <f t="shared" si="5"/>
        <v>#REF!</v>
      </c>
      <c r="H22" s="427" t="str">
        <f t="shared" si="5"/>
        <v>#REF!</v>
      </c>
      <c r="I22" s="419"/>
      <c r="J22" s="419"/>
      <c r="L22" s="419"/>
    </row>
    <row r="23" ht="37.5" customHeight="1">
      <c r="A23" s="390"/>
      <c r="B23" s="376" t="s">
        <v>177</v>
      </c>
      <c r="C23" s="426" t="str">
        <f t="shared" ref="C23:H23" si="6">$H8*#REF!</f>
        <v>#REF!</v>
      </c>
      <c r="D23" s="427" t="str">
        <f t="shared" si="6"/>
        <v>#REF!</v>
      </c>
      <c r="E23" s="427" t="str">
        <f t="shared" si="6"/>
        <v>#REF!</v>
      </c>
      <c r="F23" s="427" t="str">
        <f t="shared" si="6"/>
        <v>#REF!</v>
      </c>
      <c r="G23" s="427" t="str">
        <f t="shared" si="6"/>
        <v>#REF!</v>
      </c>
      <c r="H23" s="427" t="str">
        <f t="shared" si="6"/>
        <v>#REF!</v>
      </c>
      <c r="I23" s="419"/>
      <c r="J23" s="419"/>
      <c r="L23" s="419"/>
    </row>
    <row r="24" ht="37.5" customHeight="1">
      <c r="A24" s="390"/>
      <c r="B24" s="376" t="s">
        <v>178</v>
      </c>
      <c r="C24" s="426" t="str">
        <f t="shared" ref="C24:H24" si="7">$H9*#REF!</f>
        <v>#REF!</v>
      </c>
      <c r="D24" s="427" t="str">
        <f t="shared" si="7"/>
        <v>#REF!</v>
      </c>
      <c r="E24" s="427" t="str">
        <f t="shared" si="7"/>
        <v>#REF!</v>
      </c>
      <c r="F24" s="427" t="str">
        <f t="shared" si="7"/>
        <v>#REF!</v>
      </c>
      <c r="G24" s="427" t="str">
        <f t="shared" si="7"/>
        <v>#REF!</v>
      </c>
      <c r="H24" s="427" t="str">
        <f t="shared" si="7"/>
        <v>#REF!</v>
      </c>
      <c r="I24" s="419"/>
      <c r="J24" s="419"/>
      <c r="L24" s="419"/>
    </row>
    <row r="25" ht="37.5" customHeight="1">
      <c r="A25" s="390"/>
      <c r="B25" s="376" t="s">
        <v>179</v>
      </c>
      <c r="C25" s="426" t="str">
        <f t="shared" ref="C25:H25" si="8">$H10*#REF!</f>
        <v>#REF!</v>
      </c>
      <c r="D25" s="427" t="str">
        <f t="shared" si="8"/>
        <v>#REF!</v>
      </c>
      <c r="E25" s="427" t="str">
        <f t="shared" si="8"/>
        <v>#REF!</v>
      </c>
      <c r="F25" s="427" t="str">
        <f t="shared" si="8"/>
        <v>#REF!</v>
      </c>
      <c r="G25" s="427" t="str">
        <f t="shared" si="8"/>
        <v>#REF!</v>
      </c>
      <c r="H25" s="427" t="str">
        <f t="shared" si="8"/>
        <v>#REF!</v>
      </c>
      <c r="I25" s="419"/>
      <c r="J25" s="419"/>
      <c r="L25" s="419"/>
    </row>
    <row r="26" ht="37.5" customHeight="1">
      <c r="A26" s="390"/>
      <c r="B26" s="376" t="s">
        <v>180</v>
      </c>
      <c r="C26" s="426" t="str">
        <f t="shared" ref="C26:H26" si="9">$H11*#REF!</f>
        <v>#REF!</v>
      </c>
      <c r="D26" s="427" t="str">
        <f t="shared" si="9"/>
        <v>#REF!</v>
      </c>
      <c r="E26" s="427" t="str">
        <f t="shared" si="9"/>
        <v>#REF!</v>
      </c>
      <c r="F26" s="427" t="str">
        <f t="shared" si="9"/>
        <v>#REF!</v>
      </c>
      <c r="G26" s="427" t="str">
        <f t="shared" si="9"/>
        <v>#REF!</v>
      </c>
      <c r="H26" s="427" t="str">
        <f t="shared" si="9"/>
        <v>#REF!</v>
      </c>
      <c r="I26" s="419"/>
      <c r="J26" s="419"/>
      <c r="K26" s="419"/>
      <c r="L26" s="419"/>
    </row>
    <row r="27" ht="37.5" customHeight="1">
      <c r="A27" s="390"/>
      <c r="B27" s="376" t="s">
        <v>181</v>
      </c>
      <c r="C27" s="426" t="str">
        <f t="shared" ref="C27:H27" si="10">$H12*#REF!</f>
        <v>#REF!</v>
      </c>
      <c r="D27" s="427" t="str">
        <f t="shared" si="10"/>
        <v>#REF!</v>
      </c>
      <c r="E27" s="427" t="str">
        <f t="shared" si="10"/>
        <v>#REF!</v>
      </c>
      <c r="F27" s="427" t="str">
        <f t="shared" si="10"/>
        <v>#REF!</v>
      </c>
      <c r="G27" s="427" t="str">
        <f t="shared" si="10"/>
        <v>#REF!</v>
      </c>
      <c r="H27" s="427" t="str">
        <f t="shared" si="10"/>
        <v>#REF!</v>
      </c>
      <c r="I27" s="419"/>
      <c r="J27" s="419"/>
      <c r="K27" s="419"/>
      <c r="L27" s="419"/>
    </row>
    <row r="28" ht="37.5" customHeight="1">
      <c r="A28" s="390"/>
      <c r="B28" s="376" t="s">
        <v>182</v>
      </c>
      <c r="C28" s="426" t="str">
        <f t="shared" ref="C28:H28" si="11">$H13*#REF!</f>
        <v>#REF!</v>
      </c>
      <c r="D28" s="427" t="str">
        <f t="shared" si="11"/>
        <v>#REF!</v>
      </c>
      <c r="E28" s="427" t="str">
        <f t="shared" si="11"/>
        <v>#REF!</v>
      </c>
      <c r="F28" s="427" t="str">
        <f t="shared" si="11"/>
        <v>#REF!</v>
      </c>
      <c r="G28" s="427" t="str">
        <f t="shared" si="11"/>
        <v>#REF!</v>
      </c>
      <c r="H28" s="427" t="str">
        <f t="shared" si="11"/>
        <v>#REF!</v>
      </c>
      <c r="I28" s="419"/>
      <c r="J28" s="419"/>
      <c r="K28" s="419"/>
      <c r="L28" s="419"/>
    </row>
    <row r="29" ht="37.5" customHeight="1">
      <c r="A29" s="390"/>
      <c r="B29" s="376" t="s">
        <v>186</v>
      </c>
      <c r="C29" s="426" t="str">
        <f t="shared" ref="C29:H29" si="12">$H14*#REF!</f>
        <v>#REF!</v>
      </c>
      <c r="D29" s="427" t="str">
        <f t="shared" si="12"/>
        <v>#REF!</v>
      </c>
      <c r="E29" s="427" t="str">
        <f t="shared" si="12"/>
        <v>#REF!</v>
      </c>
      <c r="F29" s="427" t="str">
        <f t="shared" si="12"/>
        <v>#REF!</v>
      </c>
      <c r="G29" s="427" t="str">
        <f t="shared" si="12"/>
        <v>#REF!</v>
      </c>
      <c r="H29" s="427" t="str">
        <f t="shared" si="12"/>
        <v>#REF!</v>
      </c>
      <c r="I29" s="419"/>
      <c r="J29" s="419"/>
      <c r="K29" s="419"/>
      <c r="L29" s="419"/>
    </row>
    <row r="30" ht="37.5" customHeight="1">
      <c r="A30" s="390"/>
      <c r="B30" s="324"/>
      <c r="C30" s="325" t="str">
        <f t="shared" ref="C30:H30" si="13">SUM(C18:C29)</f>
        <v>#REF!</v>
      </c>
      <c r="D30" s="325" t="str">
        <f t="shared" si="13"/>
        <v>#REF!</v>
      </c>
      <c r="E30" s="325" t="str">
        <f t="shared" si="13"/>
        <v>#REF!</v>
      </c>
      <c r="F30" s="325" t="str">
        <f t="shared" si="13"/>
        <v>#REF!</v>
      </c>
      <c r="G30" s="325" t="str">
        <f t="shared" si="13"/>
        <v>#REF!</v>
      </c>
      <c r="H30" s="326" t="str">
        <f t="shared" si="13"/>
        <v>#REF!</v>
      </c>
      <c r="I30" s="394" t="str">
        <f>SUM(C30:H30)</f>
        <v>#REF!</v>
      </c>
      <c r="J30" s="394"/>
      <c r="K30" s="394"/>
      <c r="L30" s="394"/>
    </row>
    <row r="31" ht="37.5" customHeight="1">
      <c r="A31" s="390"/>
      <c r="B31" s="428"/>
      <c r="C31" s="429"/>
      <c r="D31" s="429"/>
      <c r="E31" s="429"/>
      <c r="F31" s="429"/>
      <c r="G31" s="429"/>
      <c r="H31" s="429"/>
      <c r="I31" s="394"/>
      <c r="J31" s="394"/>
      <c r="K31" s="394"/>
      <c r="L31" s="394"/>
    </row>
  </sheetData>
  <mergeCells count="2">
    <mergeCell ref="K3:K11"/>
    <mergeCell ref="K18:K25"/>
  </mergeCells>
  <dataValidations>
    <dataValidation type="list" allowBlank="1" sqref="B3:B14 B18:B29">
      <formula1>"1,2,3,4,5,6,7,8,9,10,11,12"</formula1>
    </dataValidation>
    <dataValidation type="list" allowBlank="1" showErrorMessage="1" sqref="C17:H17">
      <formula1>"Education,Enjoy,For give,Health,Living,Savings"</formula1>
    </dataValidation>
    <dataValidation type="list" allowBlank="1" sqref="C2:G2 I2">
      <formula1>"Private,Salary,Interest,Togohub,N&amp;M studio"</formula1>
    </dataValidation>
  </dataValidations>
  <drawing r:id="rId1"/>
</worksheet>
</file>